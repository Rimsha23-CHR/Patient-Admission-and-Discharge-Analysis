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msha\Downloads\"/>
    </mc:Choice>
  </mc:AlternateContent>
  <xr:revisionPtr revIDLastSave="0" documentId="13_ncr:1_{E9DF420E-89F2-41AF-B4C0-AA69614325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-table" sheetId="7" r:id="rId1"/>
    <sheet name="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</calcChain>
</file>

<file path=xl/sharedStrings.xml><?xml version="1.0" encoding="utf-8"?>
<sst xmlns="http://schemas.openxmlformats.org/spreadsheetml/2006/main" count="782" uniqueCount="170">
  <si>
    <t>Patient_ID</t>
  </si>
  <si>
    <t>Admission_Date</t>
  </si>
  <si>
    <t>Discharge_Date</t>
  </si>
  <si>
    <t>Department</t>
  </si>
  <si>
    <t>Doctor_Name</t>
  </si>
  <si>
    <t>Gender</t>
  </si>
  <si>
    <t>Age</t>
  </si>
  <si>
    <t>Diagnosis</t>
  </si>
  <si>
    <t>Room_Type</t>
  </si>
  <si>
    <t>Discharge_Status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</si>
  <si>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</si>
  <si>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</si>
  <si>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</si>
  <si>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</si>
  <si>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</si>
  <si>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</si>
  <si>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</si>
  <si>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</si>
  <si>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</si>
  <si>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</si>
  <si>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</si>
  <si>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</si>
  <si>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</si>
  <si>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</si>
  <si>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</si>
  <si>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</si>
  <si>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</si>
  <si>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</si>
  <si>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</si>
  <si>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</si>
  <si>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</si>
  <si>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</si>
  <si>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</si>
  <si>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</si>
  <si>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</si>
  <si>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</si>
  <si>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</si>
  <si>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</si>
  <si>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</si>
  <si>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</si>
  <si>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</si>
  <si>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</si>
  <si>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</si>
  <si>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</si>
  <si>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</si>
  <si>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</si>
  <si>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</si>
  <si>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</si>
  <si>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</si>
  <si>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</si>
  <si>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</si>
  <si>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</si>
  <si>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</si>
  <si>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</si>
  <si>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</si>
  <si>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</si>
  <si>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</si>
  <si>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</si>
  <si>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</si>
  <si>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</si>
  <si>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</si>
  <si>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</si>
  <si>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</si>
  <si>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</si>
  <si>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</si>
  <si>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</si>
  <si>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</si>
  <si>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</si>
  <si>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</si>
  <si>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</si>
  <si>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</si>
  <si>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</si>
  <si>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</si>
  <si>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</si>
  <si>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</si>
  <si>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</si>
  <si>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</si>
  <si>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</si>
  <si>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</si>
  <si>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</si>
  <si>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</si>
  <si>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</si>
  <si>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</si>
  <si>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</si>
  <si>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</si>
  <si>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</si>
  <si>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</si>
  <si>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</si>
  <si>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</si>
  <si>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</si>
  <si>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</si>
  <si>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</si>
  <si>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</si>
  <si>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</si>
  <si>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</si>
  <si>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</si>
  <si>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</si>
  <si>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</si>
  <si>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</si>
  <si>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</si>
  <si>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</si>
  <si>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</si>
  <si>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</si>
  <si>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</si>
  <si>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</si>
  <si>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</si>
  <si>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</si>
  <si>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</si>
  <si>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</si>
  <si>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</si>
  <si>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Orthopedics</t>
  </si>
  <si>
    <t>Neurology</t>
  </si>
  <si>
    <t>Cardiology</t>
  </si>
  <si>
    <t>General Surgery</t>
  </si>
  <si>
    <t>Pediatrics</t>
  </si>
  <si>
    <t>Oncology</t>
  </si>
  <si>
    <t>Dr. Roy</t>
  </si>
  <si>
    <t>Dr. Sharma</t>
  </si>
  <si>
    <t>Dr. Das</t>
  </si>
  <si>
    <t>Dr. Khan</t>
  </si>
  <si>
    <t>Dr. Thomas</t>
  </si>
  <si>
    <t>Dr. Patel</t>
  </si>
  <si>
    <t>Dr. Reddy</t>
  </si>
  <si>
    <t>Dr. Nair</t>
  </si>
  <si>
    <t>Dr. Gupta</t>
  </si>
  <si>
    <t>Dr. Banerjee</t>
  </si>
  <si>
    <t>Dr. Mehta</t>
  </si>
  <si>
    <t>Dr. Iyer</t>
  </si>
  <si>
    <t>F</t>
  </si>
  <si>
    <t>M</t>
  </si>
  <si>
    <t>Fever</t>
  </si>
  <si>
    <t>Hypertension</t>
  </si>
  <si>
    <t>Appendicitis</t>
  </si>
  <si>
    <t>Arthritis</t>
  </si>
  <si>
    <t>Migraine</t>
  </si>
  <si>
    <t>Asthma</t>
  </si>
  <si>
    <t>Cancer</t>
  </si>
  <si>
    <t>Fracture</t>
  </si>
  <si>
    <t>Semi-Private</t>
  </si>
  <si>
    <t>General</t>
  </si>
  <si>
    <t>Private</t>
  </si>
  <si>
    <t>Referred</t>
  </si>
  <si>
    <t>Deceased</t>
  </si>
  <si>
    <t>Recovered</t>
  </si>
  <si>
    <t>Length_of_stay</t>
  </si>
  <si>
    <t>admission_month</t>
  </si>
  <si>
    <t>admission_year</t>
  </si>
  <si>
    <t>Row Labels</t>
  </si>
  <si>
    <t>Grand Total</t>
  </si>
  <si>
    <t>Count of Patient_ID</t>
  </si>
  <si>
    <t>Jan</t>
  </si>
  <si>
    <t>Aug</t>
  </si>
  <si>
    <t>May</t>
  </si>
  <si>
    <t>Sep</t>
  </si>
  <si>
    <t>Jun</t>
  </si>
  <si>
    <t>Feb</t>
  </si>
  <si>
    <t>Jul</t>
  </si>
  <si>
    <t>Oct</t>
  </si>
  <si>
    <t>Apr</t>
  </si>
  <si>
    <t>Mar</t>
  </si>
  <si>
    <t>Average of Length_of_stay</t>
  </si>
  <si>
    <t>monthly patients count</t>
  </si>
  <si>
    <t>average stay of patients department wise</t>
  </si>
  <si>
    <t>count of patients/department wise</t>
  </si>
  <si>
    <t>this table shows which department has the longer stay</t>
  </si>
  <si>
    <t>discharge status analysis</t>
  </si>
  <si>
    <t>Nov</t>
  </si>
  <si>
    <t>(All)</t>
  </si>
  <si>
    <t>room type utilization</t>
  </si>
  <si>
    <t>department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</si>
</sst>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65" formatCode="yyyy/mm/dd"/>
    </dxf>
    <dxf>
      <numFmt numFmtId="164" formatCode="yyyy\-mm\-dd"/>
    </dxf>
    <dxf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msha" refreshedDate="45946.614654976853" createdVersion="8" refreshedVersion="8" minRefreshableVersion="3" recordCount="100" xr:uid="{B504E8CD-CAD0-486E-8089-6770C395179D}">
  <cacheSource type="worksheet">
    <worksheetSource name="tblpatientdata"/>
  </cacheSource>
  <cacheFields count="17">
    <cacheField name="Patient_ID" numFmtId="0">
      <sharedItems count="1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dmission_Date" numFmtId="164">
      <sharedItems containsSemiMixedTypes="0" containsNonDate="0" containsDate="1" containsString="0" minDate="2024-01-10T00:00:00" maxDate="2024-10-28T00:00:00" count="87">
        <d v="2024-01-23T00:00:00"/>
        <d v="2024-08-15T00:00:00"/>
        <d v="2024-05-12T00:00:00"/>
        <d v="2024-09-16T00:00:00"/>
        <d v="2024-06-12T00:00:00"/>
        <d v="2024-09-10T00:00:00"/>
        <d v="2024-01-10T00:00:00"/>
        <d v="2024-08-18T00:00:00"/>
        <d v="2024-05-16T00:00:00"/>
        <d v="2024-08-31T00:00:00"/>
        <d v="2024-05-04T00:00:00"/>
        <d v="2024-02-03T00:00:00"/>
        <d v="2024-08-01T00:00:00"/>
        <d v="2024-01-17T00:00:00"/>
        <d v="2024-06-13T00:00:00"/>
        <d v="2024-07-20T00:00:00"/>
        <d v="2024-01-30T00:00:00"/>
        <d v="2024-08-19T00:00:00"/>
        <d v="2024-01-26T00:00:00"/>
        <d v="2024-10-27T00:00:00"/>
        <d v="2024-04-05T00:00:00"/>
        <d v="2024-08-16T00:00:00"/>
        <d v="2024-03-13T00:00:00"/>
        <d v="2024-04-27T00:00:00"/>
        <d v="2024-10-05T00:00:00"/>
        <d v="2024-06-24T00:00:00"/>
        <d v="2024-10-24T00:00:00"/>
        <d v="2024-07-29T00:00:00"/>
        <d v="2024-06-11T00:00:00"/>
        <d v="2024-06-19T00:00:00"/>
        <d v="2024-07-15T00:00:00"/>
        <d v="2024-03-02T00:00:00"/>
        <d v="2024-03-22T00:00:00"/>
        <d v="2024-05-03T00:00:00"/>
        <d v="2024-10-07T00:00:00"/>
        <d v="2024-04-19T00:00:00"/>
        <d v="2024-01-29T00:00:00"/>
        <d v="2024-09-09T00:00:00"/>
        <d v="2024-10-25T00:00:00"/>
        <d v="2024-09-12T00:00:00"/>
        <d v="2024-02-02T00:00:00"/>
        <d v="2024-07-13T00:00:00"/>
        <d v="2024-06-18T00:00:00"/>
        <d v="2024-02-06T00:00:00"/>
        <d v="2024-10-03T00:00:00"/>
        <d v="2024-08-07T00:00:00"/>
        <d v="2024-02-17T00:00:00"/>
        <d v="2024-05-21T00:00:00"/>
        <d v="2024-04-10T00:00:00"/>
        <d v="2024-07-23T00:00:00"/>
        <d v="2024-01-20T00:00:00"/>
        <d v="2024-02-26T00:00:00"/>
        <d v="2024-07-07T00:00:00"/>
        <d v="2024-05-30T00:00:00"/>
        <d v="2024-09-20T00:00:00"/>
        <d v="2024-04-09T00:00:00"/>
        <d v="2024-02-08T00:00:00"/>
        <d v="2024-08-14T00:00:00"/>
        <d v="2024-08-11T00:00:00"/>
        <d v="2024-06-03T00:00:00"/>
        <d v="2024-04-13T00:00:00"/>
        <d v="2024-04-23T00:00:00"/>
        <d v="2024-03-10T00:00:00"/>
        <d v="2024-02-27T00:00:00"/>
        <d v="2024-02-25T00:00:00"/>
        <d v="2024-06-25T00:00:00"/>
        <d v="2024-01-18T00:00:00"/>
        <d v="2024-05-07T00:00:00"/>
        <d v="2024-07-12T00:00:00"/>
        <d v="2024-10-12T00:00:00"/>
        <d v="2024-04-15T00:00:00"/>
        <d v="2024-08-12T00:00:00"/>
        <d v="2024-07-31T00:00:00"/>
        <d v="2024-08-10T00:00:00"/>
        <d v="2024-07-09T00:00:00"/>
        <d v="2024-05-06T00:00:00"/>
        <d v="2024-03-04T00:00:00"/>
        <d v="2024-09-21T00:00:00"/>
        <d v="2024-05-01T00:00:00"/>
        <d v="2024-06-20T00:00:00"/>
        <d v="2024-09-29T00:00:00"/>
        <d v="2024-05-18T00:00:00"/>
        <d v="2024-07-05T00:00:00"/>
        <d v="2024-09-15T00:00:00"/>
        <d v="2024-03-01T00:00:00"/>
        <d v="2024-03-17T00:00:00"/>
        <d v="2024-06-26T00:00:00"/>
      </sharedItems>
      <fieldGroup par="14"/>
    </cacheField>
    <cacheField name="Discharge_Date" numFmtId="165">
      <sharedItems containsSemiMixedTypes="0" containsNonDate="0" containsDate="1" containsString="0" minDate="2024-01-14T00:00:00" maxDate="2024-11-05T00:00:00" count="85">
        <d v="2024-01-30T00:00:00"/>
        <d v="2024-08-19T00:00:00"/>
        <d v="2024-05-16T00:00:00"/>
        <d v="2024-09-21T00:00:00"/>
        <d v="2024-06-20T00:00:00"/>
        <d v="2024-09-18T00:00:00"/>
        <d v="2024-01-14T00:00:00"/>
        <d v="2024-08-27T00:00:00"/>
        <d v="2024-05-21T00:00:00"/>
        <d v="2024-09-10T00:00:00"/>
        <d v="2024-05-07T00:00:00"/>
        <d v="2024-02-08T00:00:00"/>
        <d v="2024-08-10T00:00:00"/>
        <d v="2024-01-23T00:00:00"/>
        <d v="2024-06-23T00:00:00"/>
        <d v="2024-07-26T00:00:00"/>
        <d v="2024-02-09T00:00:00"/>
        <d v="2024-08-26T00:00:00"/>
        <d v="2024-01-31T00:00:00"/>
        <d v="2024-11-04T00:00:00"/>
        <d v="2024-04-14T00:00:00"/>
        <d v="2024-08-25T00:00:00"/>
        <d v="2024-03-17T00:00:00"/>
        <d v="2024-10-11T00:00:00"/>
        <d v="2024-07-02T00:00:00"/>
        <d v="2024-10-28T00:00:00"/>
        <d v="2024-08-07T00:00:00"/>
        <d v="2024-06-16T00:00:00"/>
        <d v="2024-06-29T00:00:00"/>
        <d v="2024-07-23T00:00:00"/>
        <d v="2024-03-10T00:00:00"/>
        <d v="2024-03-28T00:00:00"/>
        <d v="2024-05-08T00:00:00"/>
        <d v="2024-10-14T00:00:00"/>
        <d v="2024-08-22T00:00:00"/>
        <d v="2024-04-22T00:00:00"/>
        <d v="2024-02-04T00:00:00"/>
        <d v="2024-09-13T00:00:00"/>
        <d v="2024-09-17T00:00:00"/>
        <d v="2024-01-25T00:00:00"/>
        <d v="2024-02-07T00:00:00"/>
        <d v="2024-07-19T00:00:00"/>
        <d v="2024-06-28T00:00:00"/>
        <d v="2024-02-10T00:00:00"/>
        <d v="2024-08-14T00:00:00"/>
        <d v="2024-02-22T00:00:00"/>
        <d v="2024-05-30T00:00:00"/>
        <d v="2024-07-29T00:00:00"/>
        <d v="2024-01-24T00:00:00"/>
        <d v="2024-03-01T00:00:00"/>
        <d v="2024-07-17T00:00:00"/>
        <d v="2024-06-09T00:00:00"/>
        <d v="2024-09-25T00:00:00"/>
        <d v="2024-04-11T00:00:00"/>
        <d v="2024-07-18T00:00:00"/>
        <d v="2024-02-17T00:00:00"/>
        <d v="2024-08-18T00:00:00"/>
        <d v="2024-06-05T00:00:00"/>
        <d v="2024-04-19T00:00:00"/>
        <d v="2024-04-25T00:00:00"/>
        <d v="2024-03-14T00:00:00"/>
        <d v="2024-03-08T00:00:00"/>
        <d v="2024-03-02T00:00:00"/>
        <d v="2024-06-30T00:00:00"/>
        <d v="2024-04-10T00:00:00"/>
        <d v="2024-07-14T00:00:00"/>
        <d v="2024-05-09T00:00:00"/>
        <d v="2024-10-21T00:00:00"/>
        <d v="2024-08-15T00:00:00"/>
        <d v="2024-08-03T00:00:00"/>
        <d v="2024-08-04T00:00:00"/>
        <d v="2024-09-29T00:00:00"/>
        <d v="2024-07-16T00:00:00"/>
        <d v="2024-05-13T00:00:00"/>
        <d v="2024-03-12T00:00:00"/>
        <d v="2024-02-12T00:00:00"/>
        <d v="2024-05-03T00:00:00"/>
        <d v="2024-06-24T00:00:00"/>
        <d v="2024-10-08T00:00:00"/>
        <d v="2024-05-23T00:00:00"/>
        <d v="2024-07-07T00:00:00"/>
        <d v="2024-09-22T00:00:00"/>
        <d v="2024-02-19T00:00:00"/>
        <d v="2024-03-06T00:00:00"/>
        <d v="2024-03-25T00:00:00"/>
      </sharedItems>
      <fieldGroup par="16"/>
    </cacheField>
    <cacheField name="Department" numFmtId="0">
      <sharedItems count="6">
        <s v="Orthopedics"/>
        <s v="Neurology"/>
        <s v="Cardiology"/>
        <s v="General Surgery"/>
        <s v="Pediatrics"/>
        <s v="Oncology"/>
      </sharedItems>
    </cacheField>
    <cacheField name="Doctor_Name" numFmtId="0">
      <sharedItems/>
    </cacheField>
    <cacheField name="Gender" numFmtId="0">
      <sharedItems/>
    </cacheField>
    <cacheField name="Age" numFmtId="1">
      <sharedItems containsSemiMixedTypes="0" containsString="0" containsNumber="1" containsInteger="1" minValue="5" maxValue="84" count="55">
        <n v="28"/>
        <n v="67"/>
        <n v="47"/>
        <n v="19"/>
        <n v="58"/>
        <n v="65"/>
        <n v="15"/>
        <n v="72"/>
        <n v="73"/>
        <n v="23"/>
        <n v="78"/>
        <n v="12"/>
        <n v="34"/>
        <n v="36"/>
        <n v="55"/>
        <n v="35"/>
        <n v="18"/>
        <n v="53"/>
        <n v="51"/>
        <n v="7"/>
        <n v="41"/>
        <n v="59"/>
        <n v="80"/>
        <n v="6"/>
        <n v="52"/>
        <n v="43"/>
        <n v="56"/>
        <n v="29"/>
        <n v="76"/>
        <n v="38"/>
        <n v="42"/>
        <n v="27"/>
        <n v="16"/>
        <n v="82"/>
        <n v="9"/>
        <n v="33"/>
        <n v="70"/>
        <n v="57"/>
        <n v="20"/>
        <n v="40"/>
        <n v="81"/>
        <n v="14"/>
        <n v="84"/>
        <n v="5"/>
        <n v="75"/>
        <n v="60"/>
        <n v="71"/>
        <n v="30"/>
        <n v="32"/>
        <n v="83"/>
        <n v="13"/>
        <n v="21"/>
        <n v="31"/>
        <n v="48"/>
        <n v="54"/>
      </sharedItems>
    </cacheField>
    <cacheField name="Diagnosis" numFmtId="0">
      <sharedItems/>
    </cacheField>
    <cacheField name="Room_Type" numFmtId="0">
      <sharedItems count="3">
        <s v="Semi-Private"/>
        <s v="General"/>
        <s v="Private"/>
      </sharedItems>
    </cacheField>
    <cacheField name="Discharge_Status" numFmtId="0">
      <sharedItems/>
    </cacheField>
    <cacheField name="Length_of_stay" numFmtId="0">
      <sharedItems containsSemiMixedTypes="0" containsString="0" containsNumber="1" containsInteger="1" minValue="2" maxValue="10"/>
    </cacheField>
    <cacheField name="admission_month" numFmtId="0">
      <sharedItems/>
    </cacheField>
    <cacheField name="admission_year" numFmtId="0">
      <sharedItems containsSemiMixedTypes="0" containsString="0" containsNumber="1" containsInteger="1" minValue="2024" maxValue="2024"/>
    </cacheField>
    <cacheField name="Days (Admission_Date)" numFmtId="0" databaseField="0">
      <fieldGroup base="1">
        <rangePr groupBy="days" startDate="2024-01-10T00:00:00" endDate="2024-10-28T00:00:00"/>
        <groupItems count="368">
          <s v="&lt;10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4"/>
        </groupItems>
      </fieldGroup>
    </cacheField>
    <cacheField name="Months (Admission_Date)" numFmtId="0" databaseField="0">
      <fieldGroup base="1">
        <rangePr groupBy="months" startDate="2024-01-10T00:00:00" endDate="2024-10-28T00:00:00"/>
        <groupItems count="14">
          <s v="&lt;10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4"/>
        </groupItems>
      </fieldGroup>
    </cacheField>
    <cacheField name="Days (Discharge_Date)" numFmtId="0" databaseField="0">
      <fieldGroup base="2">
        <rangePr groupBy="days" startDate="2024-01-14T00:00:00" endDate="2024-11-05T00:00:00"/>
        <groupItems count="368">
          <s v="&lt;14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11-2024"/>
        </groupItems>
      </fieldGroup>
    </cacheField>
    <cacheField name="Months (Discharge_Date)" numFmtId="0" databaseField="0">
      <fieldGroup base="2">
        <rangePr groupBy="months" startDate="2024-01-14T00:00:00" endDate="2024-11-05T00:00:00"/>
        <groupItems count="14">
          <s v="&lt;14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s v="Dr. Roy"/>
    <s v="F"/>
    <x v="0"/>
    <s v="Fever"/>
    <x v="0"/>
    <s v="Referred"/>
    <n v="7"/>
    <s v="Jan"/>
    <n v="2024"/>
  </r>
  <r>
    <x v="1"/>
    <x v="1"/>
    <x v="1"/>
    <x v="1"/>
    <s v="Dr. Sharma"/>
    <s v="F"/>
    <x v="1"/>
    <s v="Hypertension"/>
    <x v="1"/>
    <s v="Referred"/>
    <n v="4"/>
    <s v="Aug"/>
    <n v="2024"/>
  </r>
  <r>
    <x v="2"/>
    <x v="2"/>
    <x v="2"/>
    <x v="1"/>
    <s v="Dr. Das"/>
    <s v="F"/>
    <x v="2"/>
    <s v="Hypertension"/>
    <x v="0"/>
    <s v="Deceased"/>
    <n v="4"/>
    <s v="May"/>
    <n v="2024"/>
  </r>
  <r>
    <x v="3"/>
    <x v="3"/>
    <x v="3"/>
    <x v="2"/>
    <s v="Dr. Khan"/>
    <s v="F"/>
    <x v="3"/>
    <s v="Fever"/>
    <x v="2"/>
    <s v="Deceased"/>
    <n v="5"/>
    <s v="Sep"/>
    <n v="2024"/>
  </r>
  <r>
    <x v="4"/>
    <x v="4"/>
    <x v="4"/>
    <x v="2"/>
    <s v="Dr. Khan"/>
    <s v="F"/>
    <x v="4"/>
    <s v="Appendicitis"/>
    <x v="2"/>
    <s v="Recovered"/>
    <n v="8"/>
    <s v="Jun"/>
    <n v="2024"/>
  </r>
  <r>
    <x v="5"/>
    <x v="5"/>
    <x v="5"/>
    <x v="3"/>
    <s v="Dr. Thomas"/>
    <s v="M"/>
    <x v="5"/>
    <s v="Appendicitis"/>
    <x v="2"/>
    <s v="Deceased"/>
    <n v="8"/>
    <s v="Sep"/>
    <n v="2024"/>
  </r>
  <r>
    <x v="6"/>
    <x v="6"/>
    <x v="6"/>
    <x v="0"/>
    <s v="Dr. Patel"/>
    <s v="F"/>
    <x v="6"/>
    <s v="Arthritis"/>
    <x v="1"/>
    <s v="Referred"/>
    <n v="4"/>
    <s v="Jan"/>
    <n v="2024"/>
  </r>
  <r>
    <x v="7"/>
    <x v="7"/>
    <x v="7"/>
    <x v="0"/>
    <s v="Dr. Roy"/>
    <s v="M"/>
    <x v="7"/>
    <s v="Migraine"/>
    <x v="2"/>
    <s v="Recovered"/>
    <n v="9"/>
    <s v="Aug"/>
    <n v="2024"/>
  </r>
  <r>
    <x v="8"/>
    <x v="8"/>
    <x v="8"/>
    <x v="1"/>
    <s v="Dr. Sharma"/>
    <s v="M"/>
    <x v="8"/>
    <s v="Migraine"/>
    <x v="2"/>
    <s v="Referred"/>
    <n v="5"/>
    <s v="May"/>
    <n v="2024"/>
  </r>
  <r>
    <x v="9"/>
    <x v="9"/>
    <x v="9"/>
    <x v="3"/>
    <s v="Dr. Reddy"/>
    <s v="F"/>
    <x v="9"/>
    <s v="Asthma"/>
    <x v="1"/>
    <s v="Deceased"/>
    <n v="10"/>
    <s v="Aug"/>
    <n v="2024"/>
  </r>
  <r>
    <x v="10"/>
    <x v="10"/>
    <x v="10"/>
    <x v="1"/>
    <s v="Dr. Das"/>
    <s v="M"/>
    <x v="10"/>
    <s v="Appendicitis"/>
    <x v="1"/>
    <s v="Deceased"/>
    <n v="3"/>
    <s v="May"/>
    <n v="2024"/>
  </r>
  <r>
    <x v="11"/>
    <x v="11"/>
    <x v="11"/>
    <x v="4"/>
    <s v="Dr. Nair"/>
    <s v="M"/>
    <x v="11"/>
    <s v="Hypertension"/>
    <x v="1"/>
    <s v="Referred"/>
    <n v="5"/>
    <s v="Feb"/>
    <n v="2024"/>
  </r>
  <r>
    <x v="12"/>
    <x v="12"/>
    <x v="12"/>
    <x v="3"/>
    <s v="Dr. Reddy"/>
    <s v="M"/>
    <x v="12"/>
    <s v="Hypertension"/>
    <x v="2"/>
    <s v="Recovered"/>
    <n v="9"/>
    <s v="Aug"/>
    <n v="2024"/>
  </r>
  <r>
    <x v="13"/>
    <x v="13"/>
    <x v="13"/>
    <x v="0"/>
    <s v="Dr. Patel"/>
    <s v="M"/>
    <x v="13"/>
    <s v="Migraine"/>
    <x v="1"/>
    <s v="Referred"/>
    <n v="6"/>
    <s v="Jan"/>
    <n v="2024"/>
  </r>
  <r>
    <x v="14"/>
    <x v="14"/>
    <x v="14"/>
    <x v="1"/>
    <s v="Dr. Sharma"/>
    <s v="M"/>
    <x v="14"/>
    <s v="Arthritis"/>
    <x v="2"/>
    <s v="Referred"/>
    <n v="10"/>
    <s v="Jun"/>
    <n v="2024"/>
  </r>
  <r>
    <x v="15"/>
    <x v="15"/>
    <x v="15"/>
    <x v="4"/>
    <s v="Dr. Gupta"/>
    <s v="F"/>
    <x v="15"/>
    <s v="Asthma"/>
    <x v="1"/>
    <s v="Recovered"/>
    <n v="6"/>
    <s v="Jul"/>
    <n v="2024"/>
  </r>
  <r>
    <x v="16"/>
    <x v="16"/>
    <x v="16"/>
    <x v="5"/>
    <s v="Dr. Banerjee"/>
    <s v="F"/>
    <x v="16"/>
    <s v="Cancer"/>
    <x v="1"/>
    <s v="Referred"/>
    <n v="10"/>
    <s v="Jan"/>
    <n v="2024"/>
  </r>
  <r>
    <x v="17"/>
    <x v="17"/>
    <x v="17"/>
    <x v="4"/>
    <s v="Dr. Nair"/>
    <s v="M"/>
    <x v="8"/>
    <s v="Cancer"/>
    <x v="0"/>
    <s v="Recovered"/>
    <n v="7"/>
    <s v="Aug"/>
    <n v="2024"/>
  </r>
  <r>
    <x v="18"/>
    <x v="18"/>
    <x v="18"/>
    <x v="1"/>
    <s v="Dr. Das"/>
    <s v="M"/>
    <x v="17"/>
    <s v="Migraine"/>
    <x v="1"/>
    <s v="Referred"/>
    <n v="5"/>
    <s v="Jan"/>
    <n v="2024"/>
  </r>
  <r>
    <x v="19"/>
    <x v="19"/>
    <x v="19"/>
    <x v="1"/>
    <s v="Dr. Sharma"/>
    <s v="F"/>
    <x v="18"/>
    <s v="Asthma"/>
    <x v="0"/>
    <s v="Referred"/>
    <n v="8"/>
    <s v="Oct"/>
    <n v="2024"/>
  </r>
  <r>
    <x v="20"/>
    <x v="20"/>
    <x v="20"/>
    <x v="3"/>
    <s v="Dr. Thomas"/>
    <s v="F"/>
    <x v="19"/>
    <s v="Asthma"/>
    <x v="0"/>
    <s v="Recovered"/>
    <n v="9"/>
    <s v="Apr"/>
    <n v="2024"/>
  </r>
  <r>
    <x v="21"/>
    <x v="21"/>
    <x v="21"/>
    <x v="1"/>
    <s v="Dr. Sharma"/>
    <s v="M"/>
    <x v="12"/>
    <s v="Hypertension"/>
    <x v="0"/>
    <s v="Referred"/>
    <n v="9"/>
    <s v="Aug"/>
    <n v="2024"/>
  </r>
  <r>
    <x v="22"/>
    <x v="22"/>
    <x v="22"/>
    <x v="4"/>
    <s v="Dr. Nair"/>
    <s v="F"/>
    <x v="20"/>
    <s v="Asthma"/>
    <x v="2"/>
    <s v="Referred"/>
    <n v="4"/>
    <s v="Mar"/>
    <n v="2024"/>
  </r>
  <r>
    <x v="23"/>
    <x v="23"/>
    <x v="10"/>
    <x v="0"/>
    <s v="Dr. Patel"/>
    <s v="M"/>
    <x v="21"/>
    <s v="Hypertension"/>
    <x v="1"/>
    <s v="Recovered"/>
    <n v="10"/>
    <s v="Apr"/>
    <n v="2024"/>
  </r>
  <r>
    <x v="24"/>
    <x v="24"/>
    <x v="23"/>
    <x v="2"/>
    <s v="Dr. Khan"/>
    <s v="F"/>
    <x v="10"/>
    <s v="Appendicitis"/>
    <x v="1"/>
    <s v="Deceased"/>
    <n v="6"/>
    <s v="Oct"/>
    <n v="2024"/>
  </r>
  <r>
    <x v="25"/>
    <x v="25"/>
    <x v="24"/>
    <x v="1"/>
    <s v="Dr. Das"/>
    <s v="M"/>
    <x v="22"/>
    <s v="Asthma"/>
    <x v="2"/>
    <s v="Deceased"/>
    <n v="8"/>
    <s v="Jun"/>
    <n v="2024"/>
  </r>
  <r>
    <x v="26"/>
    <x v="26"/>
    <x v="25"/>
    <x v="4"/>
    <s v="Dr. Gupta"/>
    <s v="F"/>
    <x v="23"/>
    <s v="Asthma"/>
    <x v="1"/>
    <s v="Deceased"/>
    <n v="4"/>
    <s v="Oct"/>
    <n v="2024"/>
  </r>
  <r>
    <x v="27"/>
    <x v="27"/>
    <x v="26"/>
    <x v="0"/>
    <s v="Dr. Patel"/>
    <s v="M"/>
    <x v="1"/>
    <s v="Hypertension"/>
    <x v="2"/>
    <s v="Referred"/>
    <n v="9"/>
    <s v="Jul"/>
    <n v="2024"/>
  </r>
  <r>
    <x v="28"/>
    <x v="28"/>
    <x v="27"/>
    <x v="4"/>
    <s v="Dr. Nair"/>
    <s v="M"/>
    <x v="4"/>
    <s v="Fever"/>
    <x v="1"/>
    <s v="Referred"/>
    <n v="5"/>
    <s v="Jun"/>
    <n v="2024"/>
  </r>
  <r>
    <x v="29"/>
    <x v="29"/>
    <x v="28"/>
    <x v="0"/>
    <s v="Dr. Patel"/>
    <s v="F"/>
    <x v="11"/>
    <s v="Appendicitis"/>
    <x v="2"/>
    <s v="Referred"/>
    <n v="10"/>
    <s v="Jun"/>
    <n v="2024"/>
  </r>
  <r>
    <x v="30"/>
    <x v="30"/>
    <x v="29"/>
    <x v="3"/>
    <s v="Dr. Reddy"/>
    <s v="M"/>
    <x v="24"/>
    <s v="Hypertension"/>
    <x v="1"/>
    <s v="Deceased"/>
    <n v="8"/>
    <s v="Jul"/>
    <n v="2024"/>
  </r>
  <r>
    <x v="31"/>
    <x v="12"/>
    <x v="12"/>
    <x v="3"/>
    <s v="Dr. Thomas"/>
    <s v="M"/>
    <x v="25"/>
    <s v="Cancer"/>
    <x v="2"/>
    <s v="Deceased"/>
    <n v="9"/>
    <s v="Aug"/>
    <n v="2024"/>
  </r>
  <r>
    <x v="32"/>
    <x v="31"/>
    <x v="30"/>
    <x v="3"/>
    <s v="Dr. Reddy"/>
    <s v="M"/>
    <x v="26"/>
    <s v="Appendicitis"/>
    <x v="0"/>
    <s v="Deceased"/>
    <n v="8"/>
    <s v="Mar"/>
    <n v="2024"/>
  </r>
  <r>
    <x v="33"/>
    <x v="32"/>
    <x v="31"/>
    <x v="4"/>
    <s v="Dr. Nair"/>
    <s v="F"/>
    <x v="27"/>
    <s v="Fracture"/>
    <x v="1"/>
    <s v="Recovered"/>
    <n v="6"/>
    <s v="Mar"/>
    <n v="2024"/>
  </r>
  <r>
    <x v="34"/>
    <x v="33"/>
    <x v="32"/>
    <x v="0"/>
    <s v="Dr. Patel"/>
    <s v="F"/>
    <x v="28"/>
    <s v="Cancer"/>
    <x v="0"/>
    <s v="Deceased"/>
    <n v="5"/>
    <s v="May"/>
    <n v="2024"/>
  </r>
  <r>
    <x v="35"/>
    <x v="34"/>
    <x v="33"/>
    <x v="2"/>
    <s v="Dr. Mehta"/>
    <s v="M"/>
    <x v="29"/>
    <s v="Fever"/>
    <x v="0"/>
    <s v="Referred"/>
    <n v="7"/>
    <s v="Oct"/>
    <n v="2024"/>
  </r>
  <r>
    <x v="36"/>
    <x v="17"/>
    <x v="34"/>
    <x v="5"/>
    <s v="Dr. Iyer"/>
    <s v="M"/>
    <x v="30"/>
    <s v="Arthritis"/>
    <x v="2"/>
    <s v="Deceased"/>
    <n v="3"/>
    <s v="Aug"/>
    <n v="2024"/>
  </r>
  <r>
    <x v="37"/>
    <x v="35"/>
    <x v="35"/>
    <x v="1"/>
    <s v="Dr. Das"/>
    <s v="M"/>
    <x v="31"/>
    <s v="Hypertension"/>
    <x v="1"/>
    <s v="Deceased"/>
    <n v="3"/>
    <s v="Apr"/>
    <n v="2024"/>
  </r>
  <r>
    <x v="38"/>
    <x v="36"/>
    <x v="36"/>
    <x v="5"/>
    <s v="Dr. Iyer"/>
    <s v="F"/>
    <x v="30"/>
    <s v="Cancer"/>
    <x v="1"/>
    <s v="Referred"/>
    <n v="6"/>
    <s v="Jan"/>
    <n v="2024"/>
  </r>
  <r>
    <x v="39"/>
    <x v="37"/>
    <x v="37"/>
    <x v="2"/>
    <s v="Dr. Mehta"/>
    <s v="F"/>
    <x v="32"/>
    <s v="Migraine"/>
    <x v="0"/>
    <s v="Referred"/>
    <n v="4"/>
    <s v="Sep"/>
    <n v="2024"/>
  </r>
  <r>
    <x v="40"/>
    <x v="4"/>
    <x v="4"/>
    <x v="2"/>
    <s v="Dr. Khan"/>
    <s v="M"/>
    <x v="33"/>
    <s v="Arthritis"/>
    <x v="0"/>
    <s v="Recovered"/>
    <n v="8"/>
    <s v="Jun"/>
    <n v="2024"/>
  </r>
  <r>
    <x v="41"/>
    <x v="38"/>
    <x v="25"/>
    <x v="0"/>
    <s v="Dr. Roy"/>
    <s v="F"/>
    <x v="24"/>
    <s v="Fever"/>
    <x v="1"/>
    <s v="Recovered"/>
    <n v="3"/>
    <s v="Oct"/>
    <n v="2024"/>
  </r>
  <r>
    <x v="42"/>
    <x v="39"/>
    <x v="38"/>
    <x v="3"/>
    <s v="Dr. Thomas"/>
    <s v="F"/>
    <x v="14"/>
    <s v="Migraine"/>
    <x v="0"/>
    <s v="Deceased"/>
    <n v="5"/>
    <s v="Sep"/>
    <n v="2024"/>
  </r>
  <r>
    <x v="43"/>
    <x v="0"/>
    <x v="39"/>
    <x v="5"/>
    <s v="Dr. Iyer"/>
    <s v="M"/>
    <x v="20"/>
    <s v="Migraine"/>
    <x v="0"/>
    <s v="Recovered"/>
    <n v="2"/>
    <s v="Jan"/>
    <n v="2024"/>
  </r>
  <r>
    <x v="44"/>
    <x v="40"/>
    <x v="40"/>
    <x v="1"/>
    <s v="Dr. Sharma"/>
    <s v="M"/>
    <x v="34"/>
    <s v="Asthma"/>
    <x v="1"/>
    <s v="Deceased"/>
    <n v="5"/>
    <s v="Feb"/>
    <n v="2024"/>
  </r>
  <r>
    <x v="45"/>
    <x v="41"/>
    <x v="41"/>
    <x v="5"/>
    <s v="Dr. Banerjee"/>
    <s v="F"/>
    <x v="26"/>
    <s v="Hypertension"/>
    <x v="2"/>
    <s v="Deceased"/>
    <n v="6"/>
    <s v="Jul"/>
    <n v="2024"/>
  </r>
  <r>
    <x v="46"/>
    <x v="42"/>
    <x v="42"/>
    <x v="4"/>
    <s v="Dr. Nair"/>
    <s v="M"/>
    <x v="2"/>
    <s v="Appendicitis"/>
    <x v="0"/>
    <s v="Referred"/>
    <n v="10"/>
    <s v="Jun"/>
    <n v="2024"/>
  </r>
  <r>
    <x v="47"/>
    <x v="43"/>
    <x v="43"/>
    <x v="3"/>
    <s v="Dr. Thomas"/>
    <s v="M"/>
    <x v="10"/>
    <s v="Fever"/>
    <x v="1"/>
    <s v="Referred"/>
    <n v="4"/>
    <s v="Feb"/>
    <n v="2024"/>
  </r>
  <r>
    <x v="48"/>
    <x v="44"/>
    <x v="23"/>
    <x v="0"/>
    <s v="Dr. Patel"/>
    <s v="F"/>
    <x v="3"/>
    <s v="Migraine"/>
    <x v="1"/>
    <s v="Referred"/>
    <n v="8"/>
    <s v="Oct"/>
    <n v="2024"/>
  </r>
  <r>
    <x v="49"/>
    <x v="45"/>
    <x v="44"/>
    <x v="5"/>
    <s v="Dr. Banerjee"/>
    <s v="M"/>
    <x v="18"/>
    <s v="Hypertension"/>
    <x v="2"/>
    <s v="Recovered"/>
    <n v="7"/>
    <s v="Aug"/>
    <n v="2024"/>
  </r>
  <r>
    <x v="50"/>
    <x v="3"/>
    <x v="5"/>
    <x v="1"/>
    <s v="Dr. Das"/>
    <s v="M"/>
    <x v="14"/>
    <s v="Fever"/>
    <x v="1"/>
    <s v="Referred"/>
    <n v="2"/>
    <s v="Sep"/>
    <n v="2024"/>
  </r>
  <r>
    <x v="51"/>
    <x v="46"/>
    <x v="45"/>
    <x v="0"/>
    <s v="Dr. Roy"/>
    <s v="F"/>
    <x v="5"/>
    <s v="Cancer"/>
    <x v="1"/>
    <s v="Referred"/>
    <n v="5"/>
    <s v="Feb"/>
    <n v="2024"/>
  </r>
  <r>
    <x v="52"/>
    <x v="47"/>
    <x v="46"/>
    <x v="4"/>
    <s v="Dr. Gupta"/>
    <s v="F"/>
    <x v="34"/>
    <s v="Cancer"/>
    <x v="1"/>
    <s v="Deceased"/>
    <n v="9"/>
    <s v="May"/>
    <n v="2024"/>
  </r>
  <r>
    <x v="53"/>
    <x v="48"/>
    <x v="20"/>
    <x v="1"/>
    <s v="Dr. Das"/>
    <s v="M"/>
    <x v="11"/>
    <s v="Hypertension"/>
    <x v="2"/>
    <s v="Recovered"/>
    <n v="4"/>
    <s v="Apr"/>
    <n v="2024"/>
  </r>
  <r>
    <x v="54"/>
    <x v="49"/>
    <x v="47"/>
    <x v="5"/>
    <s v="Dr. Iyer"/>
    <s v="M"/>
    <x v="35"/>
    <s v="Fracture"/>
    <x v="0"/>
    <s v="Recovered"/>
    <n v="6"/>
    <s v="Jul"/>
    <n v="2024"/>
  </r>
  <r>
    <x v="55"/>
    <x v="50"/>
    <x v="48"/>
    <x v="0"/>
    <s v="Dr. Patel"/>
    <s v="F"/>
    <x v="32"/>
    <s v="Cancer"/>
    <x v="0"/>
    <s v="Deceased"/>
    <n v="4"/>
    <s v="Jan"/>
    <n v="2024"/>
  </r>
  <r>
    <x v="56"/>
    <x v="51"/>
    <x v="49"/>
    <x v="0"/>
    <s v="Dr. Patel"/>
    <s v="M"/>
    <x v="36"/>
    <s v="Fracture"/>
    <x v="1"/>
    <s v="Referred"/>
    <n v="4"/>
    <s v="Feb"/>
    <n v="2024"/>
  </r>
  <r>
    <x v="57"/>
    <x v="52"/>
    <x v="50"/>
    <x v="2"/>
    <s v="Dr. Khan"/>
    <s v="M"/>
    <x v="8"/>
    <s v="Migraine"/>
    <x v="0"/>
    <s v="Deceased"/>
    <n v="10"/>
    <s v="Jul"/>
    <n v="2024"/>
  </r>
  <r>
    <x v="58"/>
    <x v="53"/>
    <x v="51"/>
    <x v="1"/>
    <s v="Dr. Das"/>
    <s v="M"/>
    <x v="37"/>
    <s v="Fever"/>
    <x v="1"/>
    <s v="Referred"/>
    <n v="10"/>
    <s v="May"/>
    <n v="2024"/>
  </r>
  <r>
    <x v="59"/>
    <x v="54"/>
    <x v="52"/>
    <x v="0"/>
    <s v="Dr. Roy"/>
    <s v="F"/>
    <x v="38"/>
    <s v="Appendicitis"/>
    <x v="0"/>
    <s v="Recovered"/>
    <n v="5"/>
    <s v="Sep"/>
    <n v="2024"/>
  </r>
  <r>
    <x v="60"/>
    <x v="55"/>
    <x v="53"/>
    <x v="5"/>
    <s v="Dr. Iyer"/>
    <s v="F"/>
    <x v="2"/>
    <s v="Cancer"/>
    <x v="0"/>
    <s v="Deceased"/>
    <n v="2"/>
    <s v="Apr"/>
    <n v="2024"/>
  </r>
  <r>
    <x v="61"/>
    <x v="30"/>
    <x v="54"/>
    <x v="4"/>
    <s v="Dr. Nair"/>
    <s v="F"/>
    <x v="39"/>
    <s v="Migraine"/>
    <x v="2"/>
    <s v="Referred"/>
    <n v="3"/>
    <s v="Jul"/>
    <n v="2024"/>
  </r>
  <r>
    <x v="62"/>
    <x v="56"/>
    <x v="55"/>
    <x v="4"/>
    <s v="Dr. Nair"/>
    <s v="M"/>
    <x v="40"/>
    <s v="Cancer"/>
    <x v="2"/>
    <s v="Deceased"/>
    <n v="9"/>
    <s v="Feb"/>
    <n v="2024"/>
  </r>
  <r>
    <x v="63"/>
    <x v="57"/>
    <x v="34"/>
    <x v="3"/>
    <s v="Dr. Thomas"/>
    <s v="F"/>
    <x v="27"/>
    <s v="Fever"/>
    <x v="2"/>
    <s v="Referred"/>
    <n v="8"/>
    <s v="Aug"/>
    <n v="2024"/>
  </r>
  <r>
    <x v="64"/>
    <x v="58"/>
    <x v="56"/>
    <x v="2"/>
    <s v="Dr. Mehta"/>
    <s v="M"/>
    <x v="41"/>
    <s v="Cancer"/>
    <x v="2"/>
    <s v="Recovered"/>
    <n v="7"/>
    <s v="Aug"/>
    <n v="2024"/>
  </r>
  <r>
    <x v="65"/>
    <x v="59"/>
    <x v="57"/>
    <x v="3"/>
    <s v="Dr. Reddy"/>
    <s v="M"/>
    <x v="42"/>
    <s v="Migraine"/>
    <x v="2"/>
    <s v="Recovered"/>
    <n v="2"/>
    <s v="Jun"/>
    <n v="2024"/>
  </r>
  <r>
    <x v="66"/>
    <x v="60"/>
    <x v="58"/>
    <x v="4"/>
    <s v="Dr. Nair"/>
    <s v="M"/>
    <x v="1"/>
    <s v="Appendicitis"/>
    <x v="1"/>
    <s v="Deceased"/>
    <n v="6"/>
    <s v="Apr"/>
    <n v="2024"/>
  </r>
  <r>
    <x v="67"/>
    <x v="61"/>
    <x v="59"/>
    <x v="3"/>
    <s v="Dr. Reddy"/>
    <s v="F"/>
    <x v="43"/>
    <s v="Arthritis"/>
    <x v="2"/>
    <s v="Referred"/>
    <n v="2"/>
    <s v="Apr"/>
    <n v="2024"/>
  </r>
  <r>
    <x v="68"/>
    <x v="62"/>
    <x v="60"/>
    <x v="2"/>
    <s v="Dr. Mehta"/>
    <s v="F"/>
    <x v="44"/>
    <s v="Hypertension"/>
    <x v="0"/>
    <s v="Deceased"/>
    <n v="4"/>
    <s v="Mar"/>
    <n v="2024"/>
  </r>
  <r>
    <x v="69"/>
    <x v="63"/>
    <x v="61"/>
    <x v="3"/>
    <s v="Dr. Reddy"/>
    <s v="M"/>
    <x v="45"/>
    <s v="Fever"/>
    <x v="2"/>
    <s v="Referred"/>
    <n v="10"/>
    <s v="Feb"/>
    <n v="2024"/>
  </r>
  <r>
    <x v="70"/>
    <x v="64"/>
    <x v="62"/>
    <x v="1"/>
    <s v="Dr. Sharma"/>
    <s v="F"/>
    <x v="21"/>
    <s v="Cancer"/>
    <x v="1"/>
    <s v="Deceased"/>
    <n v="6"/>
    <s v="Feb"/>
    <n v="2024"/>
  </r>
  <r>
    <x v="71"/>
    <x v="65"/>
    <x v="63"/>
    <x v="0"/>
    <s v="Dr. Patel"/>
    <s v="F"/>
    <x v="43"/>
    <s v="Hypertension"/>
    <x v="2"/>
    <s v="Deceased"/>
    <n v="5"/>
    <s v="Jun"/>
    <n v="2024"/>
  </r>
  <r>
    <x v="72"/>
    <x v="66"/>
    <x v="48"/>
    <x v="5"/>
    <s v="Dr. Banerjee"/>
    <s v="F"/>
    <x v="46"/>
    <s v="Hypertension"/>
    <x v="2"/>
    <s v="Referred"/>
    <n v="6"/>
    <s v="Jan"/>
    <n v="2024"/>
  </r>
  <r>
    <x v="73"/>
    <x v="20"/>
    <x v="64"/>
    <x v="2"/>
    <s v="Dr. Mehta"/>
    <s v="F"/>
    <x v="28"/>
    <s v="Fever"/>
    <x v="1"/>
    <s v="Recovered"/>
    <n v="5"/>
    <s v="Apr"/>
    <n v="2024"/>
  </r>
  <r>
    <x v="74"/>
    <x v="67"/>
    <x v="2"/>
    <x v="1"/>
    <s v="Dr. Sharma"/>
    <s v="F"/>
    <x v="30"/>
    <s v="Fever"/>
    <x v="0"/>
    <s v="Deceased"/>
    <n v="9"/>
    <s v="May"/>
    <n v="2024"/>
  </r>
  <r>
    <x v="75"/>
    <x v="68"/>
    <x v="65"/>
    <x v="2"/>
    <s v="Dr. Khan"/>
    <s v="F"/>
    <x v="3"/>
    <s v="Migraine"/>
    <x v="1"/>
    <s v="Recovered"/>
    <n v="2"/>
    <s v="Jul"/>
    <n v="2024"/>
  </r>
  <r>
    <x v="76"/>
    <x v="10"/>
    <x v="66"/>
    <x v="5"/>
    <s v="Dr. Banerjee"/>
    <s v="M"/>
    <x v="25"/>
    <s v="Asthma"/>
    <x v="2"/>
    <s v="Recovered"/>
    <n v="5"/>
    <s v="May"/>
    <n v="2024"/>
  </r>
  <r>
    <x v="77"/>
    <x v="50"/>
    <x v="48"/>
    <x v="3"/>
    <s v="Dr. Thomas"/>
    <s v="F"/>
    <x v="11"/>
    <s v="Fever"/>
    <x v="0"/>
    <s v="Referred"/>
    <n v="4"/>
    <s v="Jan"/>
    <n v="2024"/>
  </r>
  <r>
    <x v="78"/>
    <x v="69"/>
    <x v="67"/>
    <x v="3"/>
    <s v="Dr. Reddy"/>
    <s v="F"/>
    <x v="47"/>
    <s v="Cancer"/>
    <x v="0"/>
    <s v="Deceased"/>
    <n v="9"/>
    <s v="Oct"/>
    <n v="2024"/>
  </r>
  <r>
    <x v="79"/>
    <x v="70"/>
    <x v="35"/>
    <x v="3"/>
    <s v="Dr. Thomas"/>
    <s v="F"/>
    <x v="12"/>
    <s v="Fever"/>
    <x v="1"/>
    <s v="Referred"/>
    <n v="7"/>
    <s v="Apr"/>
    <n v="2024"/>
  </r>
  <r>
    <x v="80"/>
    <x v="71"/>
    <x v="68"/>
    <x v="0"/>
    <s v="Dr. Patel"/>
    <s v="F"/>
    <x v="48"/>
    <s v="Arthritis"/>
    <x v="2"/>
    <s v="Recovered"/>
    <n v="3"/>
    <s v="Aug"/>
    <n v="2024"/>
  </r>
  <r>
    <x v="81"/>
    <x v="72"/>
    <x v="69"/>
    <x v="2"/>
    <s v="Dr. Khan"/>
    <s v="F"/>
    <x v="28"/>
    <s v="Cancer"/>
    <x v="2"/>
    <s v="Recovered"/>
    <n v="3"/>
    <s v="Jul"/>
    <n v="2024"/>
  </r>
  <r>
    <x v="82"/>
    <x v="73"/>
    <x v="1"/>
    <x v="3"/>
    <s v="Dr. Reddy"/>
    <s v="F"/>
    <x v="49"/>
    <s v="Hypertension"/>
    <x v="1"/>
    <s v="Referred"/>
    <n v="9"/>
    <s v="Aug"/>
    <n v="2024"/>
  </r>
  <r>
    <x v="83"/>
    <x v="72"/>
    <x v="70"/>
    <x v="0"/>
    <s v="Dr. Roy"/>
    <s v="F"/>
    <x v="18"/>
    <s v="Fracture"/>
    <x v="0"/>
    <s v="Deceased"/>
    <n v="4"/>
    <s v="Jul"/>
    <n v="2024"/>
  </r>
  <r>
    <x v="84"/>
    <x v="54"/>
    <x v="71"/>
    <x v="4"/>
    <s v="Dr. Nair"/>
    <s v="M"/>
    <x v="16"/>
    <s v="Asthma"/>
    <x v="1"/>
    <s v="Referred"/>
    <n v="9"/>
    <s v="Sep"/>
    <n v="2024"/>
  </r>
  <r>
    <x v="85"/>
    <x v="74"/>
    <x v="72"/>
    <x v="2"/>
    <s v="Dr. Khan"/>
    <s v="M"/>
    <x v="50"/>
    <s v="Cancer"/>
    <x v="2"/>
    <s v="Recovered"/>
    <n v="7"/>
    <s v="Jul"/>
    <n v="2024"/>
  </r>
  <r>
    <x v="86"/>
    <x v="75"/>
    <x v="73"/>
    <x v="4"/>
    <s v="Dr. Gupta"/>
    <s v="M"/>
    <x v="51"/>
    <s v="Appendicitis"/>
    <x v="1"/>
    <s v="Deceased"/>
    <n v="7"/>
    <s v="May"/>
    <n v="2024"/>
  </r>
  <r>
    <x v="87"/>
    <x v="76"/>
    <x v="74"/>
    <x v="1"/>
    <s v="Dr. Sharma"/>
    <s v="M"/>
    <x v="2"/>
    <s v="Hypertension"/>
    <x v="2"/>
    <s v="Deceased"/>
    <n v="8"/>
    <s v="Mar"/>
    <n v="2024"/>
  </r>
  <r>
    <x v="88"/>
    <x v="77"/>
    <x v="52"/>
    <x v="3"/>
    <s v="Dr. Reddy"/>
    <s v="M"/>
    <x v="4"/>
    <s v="Asthma"/>
    <x v="1"/>
    <s v="Deceased"/>
    <n v="4"/>
    <s v="Sep"/>
    <n v="2024"/>
  </r>
  <r>
    <x v="89"/>
    <x v="43"/>
    <x v="75"/>
    <x v="3"/>
    <s v="Dr. Reddy"/>
    <s v="M"/>
    <x v="12"/>
    <s v="Appendicitis"/>
    <x v="2"/>
    <s v="Deceased"/>
    <n v="6"/>
    <s v="Feb"/>
    <n v="2024"/>
  </r>
  <r>
    <x v="90"/>
    <x v="78"/>
    <x v="76"/>
    <x v="4"/>
    <s v="Dr. Nair"/>
    <s v="F"/>
    <x v="52"/>
    <s v="Hypertension"/>
    <x v="1"/>
    <s v="Recovered"/>
    <n v="2"/>
    <s v="May"/>
    <n v="2024"/>
  </r>
  <r>
    <x v="91"/>
    <x v="79"/>
    <x v="77"/>
    <x v="1"/>
    <s v="Dr. Das"/>
    <s v="M"/>
    <x v="38"/>
    <s v="Appendicitis"/>
    <x v="2"/>
    <s v="Referred"/>
    <n v="4"/>
    <s v="Jun"/>
    <n v="2024"/>
  </r>
  <r>
    <x v="92"/>
    <x v="80"/>
    <x v="78"/>
    <x v="4"/>
    <s v="Dr. Nair"/>
    <s v="F"/>
    <x v="14"/>
    <s v="Fever"/>
    <x v="1"/>
    <s v="Referred"/>
    <n v="9"/>
    <s v="Sep"/>
    <n v="2024"/>
  </r>
  <r>
    <x v="93"/>
    <x v="81"/>
    <x v="79"/>
    <x v="2"/>
    <s v="Dr. Khan"/>
    <s v="F"/>
    <x v="53"/>
    <s v="Fever"/>
    <x v="0"/>
    <s v="Deceased"/>
    <n v="5"/>
    <s v="May"/>
    <n v="2024"/>
  </r>
  <r>
    <x v="94"/>
    <x v="82"/>
    <x v="80"/>
    <x v="3"/>
    <s v="Dr. Thomas"/>
    <s v="F"/>
    <x v="41"/>
    <s v="Appendicitis"/>
    <x v="2"/>
    <s v="Recovered"/>
    <n v="2"/>
    <s v="Jul"/>
    <n v="2024"/>
  </r>
  <r>
    <x v="95"/>
    <x v="83"/>
    <x v="81"/>
    <x v="3"/>
    <s v="Dr. Reddy"/>
    <s v="F"/>
    <x v="54"/>
    <s v="Appendicitis"/>
    <x v="1"/>
    <s v="Referred"/>
    <n v="7"/>
    <s v="Sep"/>
    <n v="2024"/>
  </r>
  <r>
    <x v="96"/>
    <x v="46"/>
    <x v="82"/>
    <x v="1"/>
    <s v="Dr. Das"/>
    <s v="F"/>
    <x v="17"/>
    <s v="Hypertension"/>
    <x v="2"/>
    <s v="Recovered"/>
    <n v="2"/>
    <s v="Feb"/>
    <n v="2024"/>
  </r>
  <r>
    <x v="97"/>
    <x v="84"/>
    <x v="83"/>
    <x v="5"/>
    <s v="Dr. Banerjee"/>
    <s v="M"/>
    <x v="1"/>
    <s v="Cancer"/>
    <x v="0"/>
    <s v="Referred"/>
    <n v="5"/>
    <s v="Mar"/>
    <n v="2024"/>
  </r>
  <r>
    <x v="98"/>
    <x v="85"/>
    <x v="84"/>
    <x v="2"/>
    <s v="Dr. Khan"/>
    <s v="M"/>
    <x v="19"/>
    <s v="Appendicitis"/>
    <x v="0"/>
    <s v="Deceased"/>
    <n v="8"/>
    <s v="Mar"/>
    <n v="2024"/>
  </r>
  <r>
    <x v="99"/>
    <x v="86"/>
    <x v="28"/>
    <x v="4"/>
    <s v="Dr. Gupta"/>
    <s v="M"/>
    <x v="37"/>
    <s v="Fever"/>
    <x v="0"/>
    <s v="Referred"/>
    <n v="3"/>
    <s v="Jun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5A43A-0C50-4F1D-9C47-7FE1D5BCEE0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0" firstHeaderRow="1" firstDataRow="1" firstDataCol="1"/>
  <pivotFields count="17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64" showAll="0">
      <items count="88">
        <item x="6"/>
        <item x="13"/>
        <item x="66"/>
        <item x="50"/>
        <item x="0"/>
        <item x="18"/>
        <item x="36"/>
        <item x="16"/>
        <item x="40"/>
        <item x="11"/>
        <item x="43"/>
        <item x="56"/>
        <item x="46"/>
        <item x="64"/>
        <item x="51"/>
        <item x="63"/>
        <item x="84"/>
        <item x="31"/>
        <item x="76"/>
        <item x="62"/>
        <item x="22"/>
        <item x="85"/>
        <item x="32"/>
        <item x="20"/>
        <item x="55"/>
        <item x="48"/>
        <item x="60"/>
        <item x="70"/>
        <item x="35"/>
        <item x="61"/>
        <item x="23"/>
        <item x="78"/>
        <item x="33"/>
        <item x="10"/>
        <item x="75"/>
        <item x="67"/>
        <item x="2"/>
        <item x="8"/>
        <item x="81"/>
        <item x="47"/>
        <item x="53"/>
        <item x="59"/>
        <item x="28"/>
        <item x="4"/>
        <item x="14"/>
        <item x="42"/>
        <item x="29"/>
        <item x="79"/>
        <item x="25"/>
        <item x="65"/>
        <item x="86"/>
        <item x="82"/>
        <item x="52"/>
        <item x="74"/>
        <item x="68"/>
        <item x="41"/>
        <item x="30"/>
        <item x="15"/>
        <item x="49"/>
        <item x="27"/>
        <item x="72"/>
        <item x="12"/>
        <item x="45"/>
        <item x="73"/>
        <item x="58"/>
        <item x="71"/>
        <item x="57"/>
        <item x="1"/>
        <item x="21"/>
        <item x="7"/>
        <item x="17"/>
        <item x="9"/>
        <item x="37"/>
        <item x="5"/>
        <item x="39"/>
        <item x="83"/>
        <item x="3"/>
        <item x="54"/>
        <item x="77"/>
        <item x="80"/>
        <item x="44"/>
        <item x="24"/>
        <item x="34"/>
        <item x="69"/>
        <item x="26"/>
        <item x="38"/>
        <item x="19"/>
        <item t="default"/>
      </items>
    </pivotField>
    <pivotField numFmtId="165" showAll="0">
      <items count="86">
        <item x="6"/>
        <item x="13"/>
        <item x="48"/>
        <item x="39"/>
        <item x="0"/>
        <item x="18"/>
        <item x="36"/>
        <item x="40"/>
        <item x="11"/>
        <item x="16"/>
        <item x="43"/>
        <item x="75"/>
        <item x="55"/>
        <item x="82"/>
        <item x="45"/>
        <item x="49"/>
        <item x="62"/>
        <item x="83"/>
        <item x="61"/>
        <item x="30"/>
        <item x="74"/>
        <item x="60"/>
        <item x="22"/>
        <item x="84"/>
        <item x="31"/>
        <item x="64"/>
        <item x="53"/>
        <item x="20"/>
        <item x="58"/>
        <item x="35"/>
        <item x="59"/>
        <item x="76"/>
        <item x="10"/>
        <item x="32"/>
        <item x="66"/>
        <item x="73"/>
        <item x="2"/>
        <item x="8"/>
        <item x="79"/>
        <item x="46"/>
        <item x="57"/>
        <item x="51"/>
        <item x="27"/>
        <item x="4"/>
        <item x="14"/>
        <item x="77"/>
        <item x="42"/>
        <item x="28"/>
        <item x="63"/>
        <item x="24"/>
        <item x="80"/>
        <item x="65"/>
        <item x="72"/>
        <item x="50"/>
        <item x="54"/>
        <item x="41"/>
        <item x="29"/>
        <item x="15"/>
        <item x="47"/>
        <item x="69"/>
        <item x="70"/>
        <item x="26"/>
        <item x="12"/>
        <item x="44"/>
        <item x="68"/>
        <item x="56"/>
        <item x="1"/>
        <item x="34"/>
        <item x="21"/>
        <item x="17"/>
        <item x="7"/>
        <item x="9"/>
        <item x="37"/>
        <item x="38"/>
        <item x="5"/>
        <item x="3"/>
        <item x="81"/>
        <item x="52"/>
        <item x="71"/>
        <item x="78"/>
        <item x="23"/>
        <item x="33"/>
        <item x="67"/>
        <item x="25"/>
        <item x="19"/>
        <item t="default"/>
      </items>
    </pivotField>
    <pivotField axis="axisRow" showAll="0">
      <items count="7">
        <item x="2"/>
        <item x="3"/>
        <item x="1"/>
        <item x="5"/>
        <item x="0"/>
        <item x="4"/>
        <item t="default"/>
      </items>
    </pivotField>
    <pivotField showAll="0"/>
    <pivotField showAll="0"/>
    <pivotField numFmtId="1" showAll="0">
      <items count="56">
        <item x="43"/>
        <item x="23"/>
        <item x="19"/>
        <item x="34"/>
        <item x="11"/>
        <item x="50"/>
        <item x="41"/>
        <item x="6"/>
        <item x="32"/>
        <item x="16"/>
        <item x="3"/>
        <item x="38"/>
        <item x="51"/>
        <item x="9"/>
        <item x="31"/>
        <item x="0"/>
        <item x="27"/>
        <item x="47"/>
        <item x="52"/>
        <item x="48"/>
        <item x="35"/>
        <item x="12"/>
        <item x="15"/>
        <item x="13"/>
        <item x="29"/>
        <item x="39"/>
        <item x="20"/>
        <item x="30"/>
        <item x="25"/>
        <item x="2"/>
        <item x="53"/>
        <item x="18"/>
        <item x="24"/>
        <item x="17"/>
        <item x="54"/>
        <item x="14"/>
        <item x="26"/>
        <item x="37"/>
        <item x="4"/>
        <item x="21"/>
        <item x="45"/>
        <item x="5"/>
        <item x="1"/>
        <item x="36"/>
        <item x="46"/>
        <item x="7"/>
        <item x="8"/>
        <item x="44"/>
        <item x="28"/>
        <item x="10"/>
        <item x="22"/>
        <item x="40"/>
        <item x="33"/>
        <item x="49"/>
        <item x="4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Length_of_stay" fld="10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CE320-1986-47B7-B57A-D4A225B12C7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4" firstHeaderRow="1" firstDataRow="1" firstDataCol="1"/>
  <pivotFields count="17">
    <pivotField dataField="1" showAll="0"/>
    <pivotField axis="axisRow" numFmtId="164" showAll="0">
      <items count="88">
        <item x="6"/>
        <item x="13"/>
        <item x="66"/>
        <item x="50"/>
        <item x="0"/>
        <item x="18"/>
        <item x="36"/>
        <item x="16"/>
        <item x="40"/>
        <item x="11"/>
        <item x="43"/>
        <item x="56"/>
        <item x="46"/>
        <item x="64"/>
        <item x="51"/>
        <item x="63"/>
        <item x="84"/>
        <item x="31"/>
        <item x="76"/>
        <item x="62"/>
        <item x="22"/>
        <item x="85"/>
        <item x="32"/>
        <item x="20"/>
        <item x="55"/>
        <item x="48"/>
        <item x="60"/>
        <item x="70"/>
        <item x="35"/>
        <item x="61"/>
        <item x="23"/>
        <item x="78"/>
        <item x="33"/>
        <item x="10"/>
        <item x="75"/>
        <item x="67"/>
        <item x="2"/>
        <item x="8"/>
        <item x="81"/>
        <item x="47"/>
        <item x="53"/>
        <item x="59"/>
        <item x="28"/>
        <item x="4"/>
        <item x="14"/>
        <item x="42"/>
        <item x="29"/>
        <item x="79"/>
        <item x="25"/>
        <item x="65"/>
        <item x="86"/>
        <item x="82"/>
        <item x="52"/>
        <item x="74"/>
        <item x="68"/>
        <item x="41"/>
        <item x="30"/>
        <item x="15"/>
        <item x="49"/>
        <item x="27"/>
        <item x="72"/>
        <item x="12"/>
        <item x="45"/>
        <item x="73"/>
        <item x="58"/>
        <item x="71"/>
        <item x="57"/>
        <item x="1"/>
        <item x="21"/>
        <item x="7"/>
        <item x="17"/>
        <item x="9"/>
        <item x="37"/>
        <item x="5"/>
        <item x="39"/>
        <item x="83"/>
        <item x="3"/>
        <item x="54"/>
        <item x="77"/>
        <item x="80"/>
        <item x="44"/>
        <item x="24"/>
        <item x="34"/>
        <item x="69"/>
        <item x="26"/>
        <item x="38"/>
        <item x="19"/>
        <item t="default"/>
      </items>
    </pivotField>
    <pivotField numFmtId="165" showAll="0">
      <items count="86">
        <item x="6"/>
        <item x="13"/>
        <item x="48"/>
        <item x="39"/>
        <item x="0"/>
        <item x="18"/>
        <item x="36"/>
        <item x="40"/>
        <item x="11"/>
        <item x="16"/>
        <item x="43"/>
        <item x="75"/>
        <item x="55"/>
        <item x="82"/>
        <item x="45"/>
        <item x="49"/>
        <item x="62"/>
        <item x="83"/>
        <item x="61"/>
        <item x="30"/>
        <item x="74"/>
        <item x="60"/>
        <item x="22"/>
        <item x="84"/>
        <item x="31"/>
        <item x="64"/>
        <item x="53"/>
        <item x="20"/>
        <item x="58"/>
        <item x="35"/>
        <item x="59"/>
        <item x="76"/>
        <item x="10"/>
        <item x="32"/>
        <item x="66"/>
        <item x="73"/>
        <item x="2"/>
        <item x="8"/>
        <item x="79"/>
        <item x="46"/>
        <item x="57"/>
        <item x="51"/>
        <item x="27"/>
        <item x="4"/>
        <item x="14"/>
        <item x="77"/>
        <item x="42"/>
        <item x="28"/>
        <item x="63"/>
        <item x="24"/>
        <item x="80"/>
        <item x="65"/>
        <item x="72"/>
        <item x="50"/>
        <item x="54"/>
        <item x="41"/>
        <item x="29"/>
        <item x="15"/>
        <item x="47"/>
        <item x="69"/>
        <item x="70"/>
        <item x="26"/>
        <item x="12"/>
        <item x="44"/>
        <item x="68"/>
        <item x="56"/>
        <item x="1"/>
        <item x="34"/>
        <item x="21"/>
        <item x="17"/>
        <item x="7"/>
        <item x="9"/>
        <item x="37"/>
        <item x="38"/>
        <item x="5"/>
        <item x="3"/>
        <item x="81"/>
        <item x="52"/>
        <item x="71"/>
        <item x="78"/>
        <item x="23"/>
        <item x="33"/>
        <item x="67"/>
        <item x="25"/>
        <item x="19"/>
        <item t="default"/>
      </items>
    </pivotField>
    <pivotField showAll="0">
      <items count="7">
        <item x="2"/>
        <item x="3"/>
        <item x="1"/>
        <item x="5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4"/>
    <field x="13"/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B4B28-09E9-4F00-B0F6-3FA545A2C07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0" firstHeaderRow="1" firstDataRow="1" firstDataCol="1"/>
  <pivotFields count="17">
    <pivotField showAll="0"/>
    <pivotField numFmtId="164" showAll="0">
      <items count="88">
        <item x="6"/>
        <item x="13"/>
        <item x="66"/>
        <item x="50"/>
        <item x="0"/>
        <item x="18"/>
        <item x="36"/>
        <item x="16"/>
        <item x="40"/>
        <item x="11"/>
        <item x="43"/>
        <item x="56"/>
        <item x="46"/>
        <item x="64"/>
        <item x="51"/>
        <item x="63"/>
        <item x="84"/>
        <item x="31"/>
        <item x="76"/>
        <item x="62"/>
        <item x="22"/>
        <item x="85"/>
        <item x="32"/>
        <item x="20"/>
        <item x="55"/>
        <item x="48"/>
        <item x="60"/>
        <item x="70"/>
        <item x="35"/>
        <item x="61"/>
        <item x="23"/>
        <item x="78"/>
        <item x="33"/>
        <item x="10"/>
        <item x="75"/>
        <item x="67"/>
        <item x="2"/>
        <item x="8"/>
        <item x="81"/>
        <item x="47"/>
        <item x="53"/>
        <item x="59"/>
        <item x="28"/>
        <item x="4"/>
        <item x="14"/>
        <item x="42"/>
        <item x="29"/>
        <item x="79"/>
        <item x="25"/>
        <item x="65"/>
        <item x="86"/>
        <item x="82"/>
        <item x="52"/>
        <item x="74"/>
        <item x="68"/>
        <item x="41"/>
        <item x="30"/>
        <item x="15"/>
        <item x="49"/>
        <item x="27"/>
        <item x="72"/>
        <item x="12"/>
        <item x="45"/>
        <item x="73"/>
        <item x="58"/>
        <item x="71"/>
        <item x="57"/>
        <item x="1"/>
        <item x="21"/>
        <item x="7"/>
        <item x="17"/>
        <item x="9"/>
        <item x="37"/>
        <item x="5"/>
        <item x="39"/>
        <item x="83"/>
        <item x="3"/>
        <item x="54"/>
        <item x="77"/>
        <item x="80"/>
        <item x="44"/>
        <item x="24"/>
        <item x="34"/>
        <item x="69"/>
        <item x="26"/>
        <item x="38"/>
        <item x="19"/>
        <item t="default"/>
      </items>
    </pivotField>
    <pivotField numFmtId="165" showAll="0">
      <items count="86">
        <item x="6"/>
        <item x="13"/>
        <item x="48"/>
        <item x="39"/>
        <item x="0"/>
        <item x="18"/>
        <item x="36"/>
        <item x="40"/>
        <item x="11"/>
        <item x="16"/>
        <item x="43"/>
        <item x="75"/>
        <item x="55"/>
        <item x="82"/>
        <item x="45"/>
        <item x="49"/>
        <item x="62"/>
        <item x="83"/>
        <item x="61"/>
        <item x="30"/>
        <item x="74"/>
        <item x="60"/>
        <item x="22"/>
        <item x="84"/>
        <item x="31"/>
        <item x="64"/>
        <item x="53"/>
        <item x="20"/>
        <item x="58"/>
        <item x="35"/>
        <item x="59"/>
        <item x="76"/>
        <item x="10"/>
        <item x="32"/>
        <item x="66"/>
        <item x="73"/>
        <item x="2"/>
        <item x="8"/>
        <item x="79"/>
        <item x="46"/>
        <item x="57"/>
        <item x="51"/>
        <item x="27"/>
        <item x="4"/>
        <item x="14"/>
        <item x="77"/>
        <item x="42"/>
        <item x="28"/>
        <item x="63"/>
        <item x="24"/>
        <item x="80"/>
        <item x="65"/>
        <item x="72"/>
        <item x="50"/>
        <item x="54"/>
        <item x="41"/>
        <item x="29"/>
        <item x="15"/>
        <item x="47"/>
        <item x="69"/>
        <item x="70"/>
        <item x="26"/>
        <item x="12"/>
        <item x="44"/>
        <item x="68"/>
        <item x="56"/>
        <item x="1"/>
        <item x="34"/>
        <item x="21"/>
        <item x="17"/>
        <item x="7"/>
        <item x="9"/>
        <item x="37"/>
        <item x="38"/>
        <item x="5"/>
        <item x="3"/>
        <item x="81"/>
        <item x="52"/>
        <item x="71"/>
        <item x="78"/>
        <item x="23"/>
        <item x="33"/>
        <item x="67"/>
        <item x="25"/>
        <item x="19"/>
        <item t="default"/>
      </items>
    </pivotField>
    <pivotField axis="axisRow" showAll="0">
      <items count="7">
        <item x="2"/>
        <item x="3"/>
        <item x="1"/>
        <item x="5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Length_of_stay" fld="10" subtotal="average" baseField="3" baseItem="2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14E9C-1319-4E56-852A-8E2F2A03FB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dataField="1" showAll="0"/>
    <pivotField numFmtId="164" showAll="0">
      <items count="88">
        <item x="6"/>
        <item x="13"/>
        <item x="66"/>
        <item x="50"/>
        <item x="0"/>
        <item x="18"/>
        <item x="36"/>
        <item x="16"/>
        <item x="40"/>
        <item x="11"/>
        <item x="43"/>
        <item x="56"/>
        <item x="46"/>
        <item x="64"/>
        <item x="51"/>
        <item x="63"/>
        <item x="84"/>
        <item x="31"/>
        <item x="76"/>
        <item x="62"/>
        <item x="22"/>
        <item x="85"/>
        <item x="32"/>
        <item x="20"/>
        <item x="55"/>
        <item x="48"/>
        <item x="60"/>
        <item x="70"/>
        <item x="35"/>
        <item x="61"/>
        <item x="23"/>
        <item x="78"/>
        <item x="33"/>
        <item x="10"/>
        <item x="75"/>
        <item x="67"/>
        <item x="2"/>
        <item x="8"/>
        <item x="81"/>
        <item x="47"/>
        <item x="53"/>
        <item x="59"/>
        <item x="28"/>
        <item x="4"/>
        <item x="14"/>
        <item x="42"/>
        <item x="29"/>
        <item x="79"/>
        <item x="25"/>
        <item x="65"/>
        <item x="86"/>
        <item x="82"/>
        <item x="52"/>
        <item x="74"/>
        <item x="68"/>
        <item x="41"/>
        <item x="30"/>
        <item x="15"/>
        <item x="49"/>
        <item x="27"/>
        <item x="72"/>
        <item x="12"/>
        <item x="45"/>
        <item x="73"/>
        <item x="58"/>
        <item x="71"/>
        <item x="57"/>
        <item x="1"/>
        <item x="21"/>
        <item x="7"/>
        <item x="17"/>
        <item x="9"/>
        <item x="37"/>
        <item x="5"/>
        <item x="39"/>
        <item x="83"/>
        <item x="3"/>
        <item x="54"/>
        <item x="77"/>
        <item x="80"/>
        <item x="44"/>
        <item x="24"/>
        <item x="34"/>
        <item x="69"/>
        <item x="26"/>
        <item x="38"/>
        <item x="19"/>
        <item t="default"/>
      </items>
    </pivotField>
    <pivotField numFmtId="165" showAll="0">
      <items count="86">
        <item x="6"/>
        <item x="13"/>
        <item x="48"/>
        <item x="39"/>
        <item x="0"/>
        <item x="18"/>
        <item x="36"/>
        <item x="40"/>
        <item x="11"/>
        <item x="16"/>
        <item x="43"/>
        <item x="75"/>
        <item x="55"/>
        <item x="82"/>
        <item x="45"/>
        <item x="49"/>
        <item x="62"/>
        <item x="83"/>
        <item x="61"/>
        <item x="30"/>
        <item x="74"/>
        <item x="60"/>
        <item x="22"/>
        <item x="84"/>
        <item x="31"/>
        <item x="64"/>
        <item x="53"/>
        <item x="20"/>
        <item x="58"/>
        <item x="35"/>
        <item x="59"/>
        <item x="76"/>
        <item x="10"/>
        <item x="32"/>
        <item x="66"/>
        <item x="73"/>
        <item x="2"/>
        <item x="8"/>
        <item x="79"/>
        <item x="46"/>
        <item x="57"/>
        <item x="51"/>
        <item x="27"/>
        <item x="4"/>
        <item x="14"/>
        <item x="77"/>
        <item x="42"/>
        <item x="28"/>
        <item x="63"/>
        <item x="24"/>
        <item x="80"/>
        <item x="65"/>
        <item x="72"/>
        <item x="50"/>
        <item x="54"/>
        <item x="41"/>
        <item x="29"/>
        <item x="15"/>
        <item x="47"/>
        <item x="69"/>
        <item x="70"/>
        <item x="26"/>
        <item x="12"/>
        <item x="44"/>
        <item x="68"/>
        <item x="56"/>
        <item x="1"/>
        <item x="34"/>
        <item x="21"/>
        <item x="17"/>
        <item x="7"/>
        <item x="9"/>
        <item x="37"/>
        <item x="38"/>
        <item x="5"/>
        <item x="3"/>
        <item x="81"/>
        <item x="52"/>
        <item x="71"/>
        <item x="78"/>
        <item x="23"/>
        <item x="33"/>
        <item x="67"/>
        <item x="25"/>
        <item x="19"/>
        <item t="default"/>
      </items>
    </pivotField>
    <pivotField axis="axisRow" showAll="0">
      <items count="7">
        <item x="2"/>
        <item x="3"/>
        <item x="1"/>
        <item x="5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2BEF9-D1B4-4E4A-8EAE-DB167A229C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4" firstHeaderRow="1" firstDataRow="1" firstDataCol="1"/>
  <pivotFields count="17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64" showAll="0">
      <items count="88">
        <item x="6"/>
        <item x="13"/>
        <item x="66"/>
        <item x="50"/>
        <item x="0"/>
        <item x="18"/>
        <item x="36"/>
        <item x="16"/>
        <item x="40"/>
        <item x="11"/>
        <item x="43"/>
        <item x="56"/>
        <item x="46"/>
        <item x="64"/>
        <item x="51"/>
        <item x="63"/>
        <item x="84"/>
        <item x="31"/>
        <item x="76"/>
        <item x="62"/>
        <item x="22"/>
        <item x="85"/>
        <item x="32"/>
        <item x="20"/>
        <item x="55"/>
        <item x="48"/>
        <item x="60"/>
        <item x="70"/>
        <item x="35"/>
        <item x="61"/>
        <item x="23"/>
        <item x="78"/>
        <item x="33"/>
        <item x="10"/>
        <item x="75"/>
        <item x="67"/>
        <item x="2"/>
        <item x="8"/>
        <item x="81"/>
        <item x="47"/>
        <item x="53"/>
        <item x="59"/>
        <item x="28"/>
        <item x="4"/>
        <item x="14"/>
        <item x="42"/>
        <item x="29"/>
        <item x="79"/>
        <item x="25"/>
        <item x="65"/>
        <item x="86"/>
        <item x="82"/>
        <item x="52"/>
        <item x="74"/>
        <item x="68"/>
        <item x="41"/>
        <item x="30"/>
        <item x="15"/>
        <item x="49"/>
        <item x="27"/>
        <item x="72"/>
        <item x="12"/>
        <item x="45"/>
        <item x="73"/>
        <item x="58"/>
        <item x="71"/>
        <item x="57"/>
        <item x="1"/>
        <item x="21"/>
        <item x="7"/>
        <item x="17"/>
        <item x="9"/>
        <item x="37"/>
        <item x="5"/>
        <item x="39"/>
        <item x="83"/>
        <item x="3"/>
        <item x="54"/>
        <item x="77"/>
        <item x="80"/>
        <item x="44"/>
        <item x="24"/>
        <item x="34"/>
        <item x="69"/>
        <item x="26"/>
        <item x="38"/>
        <item x="19"/>
        <item t="default"/>
      </items>
    </pivotField>
    <pivotField numFmtId="165" showAll="0">
      <items count="86">
        <item x="6"/>
        <item x="13"/>
        <item x="48"/>
        <item x="39"/>
        <item x="0"/>
        <item x="18"/>
        <item x="36"/>
        <item x="40"/>
        <item x="11"/>
        <item x="16"/>
        <item x="43"/>
        <item x="75"/>
        <item x="55"/>
        <item x="82"/>
        <item x="45"/>
        <item x="49"/>
        <item x="62"/>
        <item x="83"/>
        <item x="61"/>
        <item x="30"/>
        <item x="74"/>
        <item x="60"/>
        <item x="22"/>
        <item x="84"/>
        <item x="31"/>
        <item x="64"/>
        <item x="53"/>
        <item x="20"/>
        <item x="58"/>
        <item x="35"/>
        <item x="59"/>
        <item x="76"/>
        <item x="10"/>
        <item x="32"/>
        <item x="66"/>
        <item x="73"/>
        <item x="2"/>
        <item x="8"/>
        <item x="79"/>
        <item x="46"/>
        <item x="57"/>
        <item x="51"/>
        <item x="27"/>
        <item x="4"/>
        <item x="14"/>
        <item x="77"/>
        <item x="42"/>
        <item x="28"/>
        <item x="63"/>
        <item x="24"/>
        <item x="80"/>
        <item x="65"/>
        <item x="72"/>
        <item x="50"/>
        <item x="54"/>
        <item x="41"/>
        <item x="29"/>
        <item x="15"/>
        <item x="47"/>
        <item x="69"/>
        <item x="70"/>
        <item x="26"/>
        <item x="12"/>
        <item x="44"/>
        <item x="68"/>
        <item x="56"/>
        <item x="1"/>
        <item x="34"/>
        <item x="21"/>
        <item x="17"/>
        <item x="7"/>
        <item x="9"/>
        <item x="37"/>
        <item x="38"/>
        <item x="5"/>
        <item x="3"/>
        <item x="81"/>
        <item x="52"/>
        <item x="71"/>
        <item x="78"/>
        <item x="23"/>
        <item x="33"/>
        <item x="67"/>
        <item x="25"/>
        <item x="19"/>
        <item t="default"/>
      </items>
    </pivotField>
    <pivotField showAll="0">
      <items count="7">
        <item x="2"/>
        <item x="3"/>
        <item x="1"/>
        <item x="5"/>
        <item x="0"/>
        <item x="4"/>
        <item t="default"/>
      </items>
    </pivotField>
    <pivotField showAll="0"/>
    <pivotField showAll="0"/>
    <pivotField numFmtId="1" showAll="0">
      <items count="56">
        <item x="43"/>
        <item x="23"/>
        <item x="19"/>
        <item x="34"/>
        <item x="11"/>
        <item x="50"/>
        <item x="41"/>
        <item x="6"/>
        <item x="32"/>
        <item x="16"/>
        <item x="3"/>
        <item x="38"/>
        <item x="51"/>
        <item x="9"/>
        <item x="31"/>
        <item x="0"/>
        <item x="27"/>
        <item x="47"/>
        <item x="52"/>
        <item x="48"/>
        <item x="35"/>
        <item x="12"/>
        <item x="15"/>
        <item x="13"/>
        <item x="29"/>
        <item x="39"/>
        <item x="20"/>
        <item x="30"/>
        <item x="25"/>
        <item x="2"/>
        <item x="53"/>
        <item x="18"/>
        <item x="24"/>
        <item x="17"/>
        <item x="54"/>
        <item x="14"/>
        <item x="26"/>
        <item x="37"/>
        <item x="4"/>
        <item x="21"/>
        <item x="45"/>
        <item x="5"/>
        <item x="1"/>
        <item x="36"/>
        <item x="46"/>
        <item x="7"/>
        <item x="8"/>
        <item x="44"/>
        <item x="28"/>
        <item x="10"/>
        <item x="22"/>
        <item x="40"/>
        <item x="33"/>
        <item x="49"/>
        <item x="42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DA78D-49FF-4BBF-B116-09B8220C7D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9:L31" firstHeaderRow="1" firstDataRow="1" firstDataCol="1" rowPageCount="1" colPageCount="1"/>
  <pivotFields count="17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64" showAll="0">
      <items count="88">
        <item x="6"/>
        <item x="13"/>
        <item x="66"/>
        <item x="50"/>
        <item x="0"/>
        <item x="18"/>
        <item x="36"/>
        <item x="16"/>
        <item x="40"/>
        <item x="11"/>
        <item x="43"/>
        <item x="56"/>
        <item x="46"/>
        <item x="64"/>
        <item x="51"/>
        <item x="63"/>
        <item x="84"/>
        <item x="31"/>
        <item x="76"/>
        <item x="62"/>
        <item x="22"/>
        <item x="85"/>
        <item x="32"/>
        <item x="20"/>
        <item x="55"/>
        <item x="48"/>
        <item x="60"/>
        <item x="70"/>
        <item x="35"/>
        <item x="61"/>
        <item x="23"/>
        <item x="78"/>
        <item x="33"/>
        <item x="10"/>
        <item x="75"/>
        <item x="67"/>
        <item x="2"/>
        <item x="8"/>
        <item x="81"/>
        <item x="47"/>
        <item x="53"/>
        <item x="59"/>
        <item x="28"/>
        <item x="4"/>
        <item x="14"/>
        <item x="42"/>
        <item x="29"/>
        <item x="79"/>
        <item x="25"/>
        <item x="65"/>
        <item x="86"/>
        <item x="82"/>
        <item x="52"/>
        <item x="74"/>
        <item x="68"/>
        <item x="41"/>
        <item x="30"/>
        <item x="15"/>
        <item x="49"/>
        <item x="27"/>
        <item x="72"/>
        <item x="12"/>
        <item x="45"/>
        <item x="73"/>
        <item x="58"/>
        <item x="71"/>
        <item x="57"/>
        <item x="1"/>
        <item x="21"/>
        <item x="7"/>
        <item x="17"/>
        <item x="9"/>
        <item x="37"/>
        <item x="5"/>
        <item x="39"/>
        <item x="83"/>
        <item x="3"/>
        <item x="54"/>
        <item x="77"/>
        <item x="80"/>
        <item x="44"/>
        <item x="24"/>
        <item x="34"/>
        <item x="69"/>
        <item x="26"/>
        <item x="38"/>
        <item x="19"/>
        <item t="default"/>
      </items>
    </pivotField>
    <pivotField axis="axisRow" numFmtId="165" showAll="0">
      <items count="86">
        <item x="6"/>
        <item x="13"/>
        <item x="48"/>
        <item x="39"/>
        <item x="0"/>
        <item x="18"/>
        <item x="36"/>
        <item x="40"/>
        <item x="11"/>
        <item x="16"/>
        <item x="43"/>
        <item x="75"/>
        <item x="55"/>
        <item x="82"/>
        <item x="45"/>
        <item x="49"/>
        <item x="62"/>
        <item x="83"/>
        <item x="61"/>
        <item x="30"/>
        <item x="74"/>
        <item x="60"/>
        <item x="22"/>
        <item x="84"/>
        <item x="31"/>
        <item x="64"/>
        <item x="53"/>
        <item x="20"/>
        <item x="58"/>
        <item x="35"/>
        <item x="59"/>
        <item x="76"/>
        <item x="10"/>
        <item x="32"/>
        <item x="66"/>
        <item x="73"/>
        <item x="2"/>
        <item x="8"/>
        <item x="79"/>
        <item x="46"/>
        <item x="57"/>
        <item x="51"/>
        <item x="27"/>
        <item x="4"/>
        <item x="14"/>
        <item x="77"/>
        <item x="42"/>
        <item x="28"/>
        <item x="63"/>
        <item x="24"/>
        <item x="80"/>
        <item x="65"/>
        <item x="72"/>
        <item x="50"/>
        <item x="54"/>
        <item x="41"/>
        <item x="29"/>
        <item x="15"/>
        <item x="47"/>
        <item x="69"/>
        <item x="70"/>
        <item x="26"/>
        <item x="12"/>
        <item x="44"/>
        <item x="68"/>
        <item x="56"/>
        <item x="1"/>
        <item x="34"/>
        <item x="21"/>
        <item x="17"/>
        <item x="7"/>
        <item x="9"/>
        <item x="37"/>
        <item x="38"/>
        <item x="5"/>
        <item x="3"/>
        <item x="81"/>
        <item x="52"/>
        <item x="71"/>
        <item x="78"/>
        <item x="23"/>
        <item x="33"/>
        <item x="67"/>
        <item x="25"/>
        <item x="19"/>
        <item t="default"/>
      </items>
    </pivotField>
    <pivotField axis="axisPage" multipleItemSelectionAllowed="1" showAll="0">
      <items count="7">
        <item x="2"/>
        <item x="3"/>
        <item x="1"/>
        <item x="5"/>
        <item x="0"/>
        <item x="4"/>
        <item t="default"/>
      </items>
    </pivotField>
    <pivotField showAll="0"/>
    <pivotField showAll="0"/>
    <pivotField numFmtId="1" showAll="0">
      <items count="56">
        <item x="43"/>
        <item x="23"/>
        <item x="19"/>
        <item x="34"/>
        <item x="11"/>
        <item x="50"/>
        <item x="41"/>
        <item x="6"/>
        <item x="32"/>
        <item x="16"/>
        <item x="3"/>
        <item x="38"/>
        <item x="51"/>
        <item x="9"/>
        <item x="31"/>
        <item x="0"/>
        <item x="27"/>
        <item x="47"/>
        <item x="52"/>
        <item x="48"/>
        <item x="35"/>
        <item x="12"/>
        <item x="15"/>
        <item x="13"/>
        <item x="29"/>
        <item x="39"/>
        <item x="20"/>
        <item x="30"/>
        <item x="25"/>
        <item x="2"/>
        <item x="53"/>
        <item x="18"/>
        <item x="24"/>
        <item x="17"/>
        <item x="54"/>
        <item x="14"/>
        <item x="26"/>
        <item x="37"/>
        <item x="4"/>
        <item x="21"/>
        <item x="45"/>
        <item x="5"/>
        <item x="1"/>
        <item x="36"/>
        <item x="46"/>
        <item x="7"/>
        <item x="8"/>
        <item x="44"/>
        <item x="28"/>
        <item x="10"/>
        <item x="22"/>
        <item x="40"/>
        <item x="33"/>
        <item x="49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35F55-EEA0-4990-86FB-BA919D4EBC5C}" name="tblpatientdata" displayName="tblpatientdata" ref="A1:M101" totalsRowShown="0" headerRowDxfId="5">
  <autoFilter ref="A1:M101" xr:uid="{3E035F55-EEA0-4990-86FB-BA919D4EBC5C}"/>
  <tableColumns count="13">
    <tableColumn id="1" xr3:uid="{88EF25B1-4AFF-4B5D-874B-411D0D8E7DE9}" name="Patient_ID"/>
    <tableColumn id="2" xr3:uid="{A9360C6A-DDD7-4A99-9436-65B64D561748}" name="Admission_Date" dataDxfId="4"/>
    <tableColumn id="3" xr3:uid="{4250FAFB-247E-492B-B743-A107A45CC8BD}" name="Discharge_Date" dataDxfId="3"/>
    <tableColumn id="4" xr3:uid="{9F2AF654-31BA-4C68-8CB3-1BA7C0DC4347}" name="Department"/>
    <tableColumn id="5" xr3:uid="{2594D0CF-F615-4333-923B-0E1CBA2F5353}" name="Doctor_Name"/>
    <tableColumn id="6" xr3:uid="{A0C7704A-5D29-449B-879E-C2E6F5F21FC5}" name="Gender"/>
    <tableColumn id="7" xr3:uid="{C26E493E-717C-4977-B9B0-8FE68B510E55}" name="Age" dataDxfId="2"/>
    <tableColumn id="8" xr3:uid="{F5649A75-66F7-4BE5-80E3-6600CBA49699}" name="Diagnosis"/>
    <tableColumn id="9" xr3:uid="{C9813A3D-73F4-4A05-AC04-5ED111FAA5B6}" name="Room_Type"/>
    <tableColumn id="10" xr3:uid="{A636CEFF-0662-4725-9817-FBF4DB5EDCF5}" name="Discharge_Status"/>
    <tableColumn id="11" xr3:uid="{48027837-C35F-4022-A238-87122916783E}" name="Length_of_stay" dataDxfId="1">
      <calculatedColumnFormula>C2-B2</calculatedColumnFormula>
    </tableColumn>
    <tableColumn id="12" xr3:uid="{B2F615E5-DC9A-4F61-9F80-D9E91179FE99}" name="admission_month" dataDxfId="0">
      <calculatedColumnFormula>TEXT(B2, "mmm")</calculatedColumnFormula>
    </tableColumn>
    <tableColumn id="13" xr3:uid="{27CE2C03-13E7-477E-AEBC-B0F9E92BB25A}" name="admission_year">
      <calculatedColumnFormula>YEAR(B2)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AC45-C411-4251-B4CB-218273595A7C}">
  <dimension ref="A2:N44"/>
  <sheetViews>
    <sheetView topLeftCell="A10" workbookViewId="0">
      <selection activeCell="B23" sqref="B23"/>
      <pivotSelection pane="bottomRight" showHeader="1" extendable="1" activeRow="22" activeCol="1" previousRow="22" previousCol="1" click="1" r:id="rId2">
        <pivotArea dataOnly="0" outline="0" axis="axisValues" fieldPosition="0"/>
      </pivotSelection>
    </sheetView>
  </sheetViews>
  <sheetFormatPr defaultRowHeight="14.4" x14ac:dyDescent="0.3"/>
  <cols>
    <col min="1" max="1" width="12.5546875" bestFit="1" customWidth="1"/>
    <col min="2" max="2" width="17.77734375" bestFit="1" customWidth="1"/>
    <col min="11" max="11" width="12.5546875" bestFit="1" customWidth="1"/>
    <col min="12" max="13" width="17.77734375" bestFit="1" customWidth="1"/>
  </cols>
  <sheetData>
    <row r="2" spans="1:14" x14ac:dyDescent="0.3">
      <c r="L2" t="s">
        <v>164</v>
      </c>
    </row>
    <row r="3" spans="1:14" x14ac:dyDescent="0.3">
      <c r="A3" s="11" t="s">
        <v>147</v>
      </c>
      <c r="B3" t="s">
        <v>149</v>
      </c>
      <c r="D3" t="s">
        <v>163</v>
      </c>
      <c r="K3" s="11" t="s">
        <v>147</v>
      </c>
      <c r="L3" t="s">
        <v>160</v>
      </c>
    </row>
    <row r="4" spans="1:14" x14ac:dyDescent="0.3">
      <c r="A4" s="12" t="s">
        <v>112</v>
      </c>
      <c r="B4">
        <v>15</v>
      </c>
      <c r="K4" s="12" t="s">
        <v>112</v>
      </c>
      <c r="L4" s="14">
        <v>5.9333333333333336</v>
      </c>
    </row>
    <row r="5" spans="1:14" x14ac:dyDescent="0.3">
      <c r="A5" s="12" t="s">
        <v>113</v>
      </c>
      <c r="B5">
        <v>21</v>
      </c>
      <c r="K5" s="12" t="s">
        <v>113</v>
      </c>
      <c r="L5" s="14">
        <v>6.666666666666667</v>
      </c>
    </row>
    <row r="6" spans="1:14" x14ac:dyDescent="0.3">
      <c r="A6" s="12" t="s">
        <v>111</v>
      </c>
      <c r="B6">
        <v>19</v>
      </c>
      <c r="K6" s="12" t="s">
        <v>111</v>
      </c>
      <c r="L6" s="14">
        <v>5.7368421052631575</v>
      </c>
    </row>
    <row r="7" spans="1:14" x14ac:dyDescent="0.3">
      <c r="A7" s="12" t="s">
        <v>115</v>
      </c>
      <c r="B7">
        <v>11</v>
      </c>
      <c r="K7" s="12" t="s">
        <v>115</v>
      </c>
      <c r="L7" s="14">
        <v>5.2727272727272725</v>
      </c>
    </row>
    <row r="8" spans="1:14" x14ac:dyDescent="0.3">
      <c r="A8" s="12" t="s">
        <v>110</v>
      </c>
      <c r="B8">
        <v>17</v>
      </c>
      <c r="K8" s="12" t="s">
        <v>110</v>
      </c>
      <c r="L8" s="14">
        <v>5.9411764705882355</v>
      </c>
    </row>
    <row r="9" spans="1:14" x14ac:dyDescent="0.3">
      <c r="A9" s="12" t="s">
        <v>114</v>
      </c>
      <c r="B9">
        <v>17</v>
      </c>
      <c r="K9" s="12" t="s">
        <v>114</v>
      </c>
      <c r="L9" s="14">
        <v>6.117647058823529</v>
      </c>
    </row>
    <row r="10" spans="1:14" x14ac:dyDescent="0.3">
      <c r="A10" s="12" t="s">
        <v>148</v>
      </c>
      <c r="B10">
        <v>100</v>
      </c>
      <c r="K10" s="12" t="s">
        <v>148</v>
      </c>
      <c r="L10" s="14">
        <v>6.01</v>
      </c>
    </row>
    <row r="12" spans="1:14" x14ac:dyDescent="0.3">
      <c r="B12" t="s">
        <v>162</v>
      </c>
    </row>
    <row r="13" spans="1:14" x14ac:dyDescent="0.3">
      <c r="A13" s="11" t="s">
        <v>147</v>
      </c>
      <c r="B13" t="s">
        <v>160</v>
      </c>
    </row>
    <row r="14" spans="1:14" x14ac:dyDescent="0.3">
      <c r="A14" s="12" t="s">
        <v>112</v>
      </c>
      <c r="B14" s="13">
        <v>5.9333333333333336</v>
      </c>
      <c r="M14" s="15"/>
    </row>
    <row r="15" spans="1:14" x14ac:dyDescent="0.3">
      <c r="A15" s="12" t="s">
        <v>113</v>
      </c>
      <c r="B15" s="13">
        <v>6.666666666666667</v>
      </c>
    </row>
    <row r="16" spans="1:14" x14ac:dyDescent="0.3">
      <c r="A16" s="12" t="s">
        <v>111</v>
      </c>
      <c r="B16" s="13">
        <v>5.7368421052631575</v>
      </c>
      <c r="N16" s="15" t="s">
        <v>165</v>
      </c>
    </row>
    <row r="17" spans="1:14" x14ac:dyDescent="0.3">
      <c r="A17" s="12" t="s">
        <v>115</v>
      </c>
      <c r="B17" s="13">
        <v>5.2727272727272725</v>
      </c>
      <c r="K17" s="11" t="s">
        <v>3</v>
      </c>
      <c r="L17" t="s">
        <v>167</v>
      </c>
      <c r="N17" t="s">
        <v>169</v>
      </c>
    </row>
    <row r="18" spans="1:14" x14ac:dyDescent="0.3">
      <c r="A18" s="12" t="s">
        <v>110</v>
      </c>
      <c r="B18" s="13">
        <v>5.9411764705882355</v>
      </c>
    </row>
    <row r="19" spans="1:14" x14ac:dyDescent="0.3">
      <c r="A19" s="12" t="s">
        <v>114</v>
      </c>
      <c r="B19" s="13">
        <v>6.117647058823529</v>
      </c>
      <c r="K19" s="11" t="s">
        <v>147</v>
      </c>
      <c r="L19" t="s">
        <v>149</v>
      </c>
    </row>
    <row r="20" spans="1:14" x14ac:dyDescent="0.3">
      <c r="A20" s="12" t="s">
        <v>148</v>
      </c>
      <c r="B20" s="13">
        <v>6.01</v>
      </c>
      <c r="K20" s="12" t="s">
        <v>150</v>
      </c>
      <c r="L20">
        <v>8</v>
      </c>
    </row>
    <row r="21" spans="1:14" x14ac:dyDescent="0.3">
      <c r="K21" s="12" t="s">
        <v>155</v>
      </c>
      <c r="L21">
        <v>9</v>
      </c>
    </row>
    <row r="22" spans="1:14" x14ac:dyDescent="0.3">
      <c r="K22" s="12" t="s">
        <v>159</v>
      </c>
      <c r="L22">
        <v>10</v>
      </c>
    </row>
    <row r="23" spans="1:14" x14ac:dyDescent="0.3">
      <c r="A23" s="11" t="s">
        <v>147</v>
      </c>
      <c r="B23" t="s">
        <v>149</v>
      </c>
      <c r="D23" t="s">
        <v>161</v>
      </c>
      <c r="K23" s="12" t="s">
        <v>158</v>
      </c>
      <c r="L23">
        <v>8</v>
      </c>
    </row>
    <row r="24" spans="1:14" x14ac:dyDescent="0.3">
      <c r="A24" s="12" t="s">
        <v>150</v>
      </c>
      <c r="B24">
        <v>10</v>
      </c>
      <c r="K24" s="12" t="s">
        <v>152</v>
      </c>
      <c r="L24">
        <v>11</v>
      </c>
    </row>
    <row r="25" spans="1:14" x14ac:dyDescent="0.3">
      <c r="A25" s="12" t="s">
        <v>155</v>
      </c>
      <c r="B25">
        <v>10</v>
      </c>
      <c r="K25" s="12" t="s">
        <v>154</v>
      </c>
      <c r="L25">
        <v>11</v>
      </c>
    </row>
    <row r="26" spans="1:14" x14ac:dyDescent="0.3">
      <c r="A26" s="12" t="s">
        <v>159</v>
      </c>
      <c r="B26">
        <v>7</v>
      </c>
      <c r="K26" s="12" t="s">
        <v>156</v>
      </c>
      <c r="L26">
        <v>10</v>
      </c>
    </row>
    <row r="27" spans="1:14" x14ac:dyDescent="0.3">
      <c r="A27" s="12" t="s">
        <v>158</v>
      </c>
      <c r="B27">
        <v>9</v>
      </c>
      <c r="K27" s="12" t="s">
        <v>151</v>
      </c>
      <c r="L27">
        <v>15</v>
      </c>
    </row>
    <row r="28" spans="1:14" x14ac:dyDescent="0.3">
      <c r="A28" s="12" t="s">
        <v>152</v>
      </c>
      <c r="B28">
        <v>11</v>
      </c>
      <c r="K28" s="12" t="s">
        <v>153</v>
      </c>
      <c r="L28">
        <v>10</v>
      </c>
    </row>
    <row r="29" spans="1:14" x14ac:dyDescent="0.3">
      <c r="A29" s="12" t="s">
        <v>154</v>
      </c>
      <c r="B29">
        <v>11</v>
      </c>
      <c r="K29" s="12" t="s">
        <v>157</v>
      </c>
      <c r="L29">
        <v>7</v>
      </c>
    </row>
    <row r="30" spans="1:14" x14ac:dyDescent="0.3">
      <c r="A30" s="12" t="s">
        <v>156</v>
      </c>
      <c r="B30">
        <v>12</v>
      </c>
      <c r="K30" s="12" t="s">
        <v>166</v>
      </c>
      <c r="L30">
        <v>1</v>
      </c>
    </row>
    <row r="31" spans="1:14" x14ac:dyDescent="0.3">
      <c r="A31" s="12" t="s">
        <v>151</v>
      </c>
      <c r="B31">
        <v>13</v>
      </c>
      <c r="K31" s="12" t="s">
        <v>148</v>
      </c>
      <c r="L31">
        <v>100</v>
      </c>
    </row>
    <row r="32" spans="1:14" x14ac:dyDescent="0.3">
      <c r="A32" s="12" t="s">
        <v>153</v>
      </c>
      <c r="B32">
        <v>10</v>
      </c>
    </row>
    <row r="33" spans="1:2" x14ac:dyDescent="0.3">
      <c r="A33" s="12" t="s">
        <v>157</v>
      </c>
      <c r="B33">
        <v>7</v>
      </c>
    </row>
    <row r="34" spans="1:2" x14ac:dyDescent="0.3">
      <c r="A34" s="12" t="s">
        <v>148</v>
      </c>
      <c r="B34">
        <v>100</v>
      </c>
    </row>
    <row r="38" spans="1:2" x14ac:dyDescent="0.3">
      <c r="A38" t="s">
        <v>168</v>
      </c>
    </row>
    <row r="40" spans="1:2" x14ac:dyDescent="0.3">
      <c r="A40" s="11" t="s">
        <v>147</v>
      </c>
      <c r="B40" t="s">
        <v>149</v>
      </c>
    </row>
    <row r="41" spans="1:2" x14ac:dyDescent="0.3">
      <c r="A41" s="12" t="s">
        <v>139</v>
      </c>
      <c r="B41">
        <v>38</v>
      </c>
    </row>
    <row r="42" spans="1:2" x14ac:dyDescent="0.3">
      <c r="A42" s="12" t="s">
        <v>140</v>
      </c>
      <c r="B42">
        <v>34</v>
      </c>
    </row>
    <row r="43" spans="1:2" x14ac:dyDescent="0.3">
      <c r="A43" s="12" t="s">
        <v>138</v>
      </c>
      <c r="B43">
        <v>28</v>
      </c>
    </row>
    <row r="44" spans="1:2" x14ac:dyDescent="0.3">
      <c r="A44" s="12" t="s">
        <v>148</v>
      </c>
      <c r="B4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F20" sqref="F20"/>
    </sheetView>
  </sheetViews>
  <sheetFormatPr defaultRowHeight="14.4" x14ac:dyDescent="0.3"/>
  <cols>
    <col min="1" max="1" width="11.6640625" customWidth="1"/>
    <col min="2" max="2" width="19.88671875" customWidth="1"/>
    <col min="3" max="3" width="27.109375" style="4" customWidth="1"/>
    <col min="4" max="4" width="23.21875" customWidth="1"/>
    <col min="5" max="5" width="20" customWidth="1"/>
    <col min="6" max="6" width="16.21875" customWidth="1"/>
    <col min="7" max="7" width="13.21875" style="2" customWidth="1"/>
    <col min="8" max="8" width="29" customWidth="1"/>
    <col min="9" max="9" width="19.5546875" customWidth="1"/>
    <col min="10" max="10" width="23" customWidth="1"/>
    <col min="11" max="11" width="17.88671875" customWidth="1"/>
    <col min="12" max="12" width="18" style="5" customWidth="1"/>
    <col min="13" max="13" width="17.88671875" customWidth="1"/>
  </cols>
  <sheetData>
    <row r="1" spans="1:15" x14ac:dyDescent="0.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9" t="s">
        <v>144</v>
      </c>
      <c r="L1" s="10" t="s">
        <v>145</v>
      </c>
      <c r="M1" s="9" t="s">
        <v>146</v>
      </c>
    </row>
    <row r="2" spans="1:15" x14ac:dyDescent="0.3">
      <c r="A2" t="s">
        <v>10</v>
      </c>
      <c r="B2" s="1">
        <v>45314</v>
      </c>
      <c r="C2" s="4">
        <v>45321</v>
      </c>
      <c r="D2" t="s">
        <v>110</v>
      </c>
      <c r="E2" t="s">
        <v>116</v>
      </c>
      <c r="F2" t="s">
        <v>128</v>
      </c>
      <c r="G2" s="2">
        <v>28</v>
      </c>
      <c r="H2" t="s">
        <v>130</v>
      </c>
      <c r="I2" t="s">
        <v>138</v>
      </c>
      <c r="J2" t="s">
        <v>141</v>
      </c>
      <c r="K2">
        <f>C2-B2</f>
        <v>7</v>
      </c>
      <c r="L2" s="5" t="str">
        <f>TEXT(B2, "mmm")</f>
        <v>Jan</v>
      </c>
      <c r="M2">
        <f>YEAR(B2)</f>
        <v>2024</v>
      </c>
      <c r="O2" s="3"/>
    </row>
    <row r="3" spans="1:15" x14ac:dyDescent="0.3">
      <c r="A3" t="s">
        <v>11</v>
      </c>
      <c r="B3" s="1">
        <v>45519</v>
      </c>
      <c r="C3" s="4">
        <v>45523</v>
      </c>
      <c r="D3" t="s">
        <v>111</v>
      </c>
      <c r="E3" t="s">
        <v>117</v>
      </c>
      <c r="F3" t="s">
        <v>128</v>
      </c>
      <c r="G3" s="2">
        <v>67</v>
      </c>
      <c r="H3" t="s">
        <v>131</v>
      </c>
      <c r="I3" t="s">
        <v>139</v>
      </c>
      <c r="J3" t="s">
        <v>141</v>
      </c>
      <c r="K3">
        <f t="shared" ref="K3:K66" si="0">C3-B3</f>
        <v>4</v>
      </c>
      <c r="L3" s="5" t="str">
        <f t="shared" ref="L3:L66" si="1">TEXT(B3, "mmm")</f>
        <v>Aug</v>
      </c>
      <c r="M3">
        <f t="shared" ref="M3:M66" si="2">YEAR(B3)</f>
        <v>2024</v>
      </c>
    </row>
    <row r="4" spans="1:15" x14ac:dyDescent="0.3">
      <c r="A4" t="s">
        <v>12</v>
      </c>
      <c r="B4" s="1">
        <v>45424</v>
      </c>
      <c r="C4" s="4">
        <v>45428</v>
      </c>
      <c r="D4" t="s">
        <v>111</v>
      </c>
      <c r="E4" t="s">
        <v>118</v>
      </c>
      <c r="F4" t="s">
        <v>128</v>
      </c>
      <c r="G4" s="2">
        <v>47</v>
      </c>
      <c r="H4" t="s">
        <v>131</v>
      </c>
      <c r="I4" t="s">
        <v>138</v>
      </c>
      <c r="J4" t="s">
        <v>142</v>
      </c>
      <c r="K4">
        <f t="shared" si="0"/>
        <v>4</v>
      </c>
      <c r="L4" s="5" t="str">
        <f t="shared" si="1"/>
        <v>May</v>
      </c>
      <c r="M4">
        <f t="shared" si="2"/>
        <v>2024</v>
      </c>
    </row>
    <row r="5" spans="1:15" x14ac:dyDescent="0.3">
      <c r="A5" t="s">
        <v>13</v>
      </c>
      <c r="B5" s="1">
        <v>45551</v>
      </c>
      <c r="C5" s="4">
        <v>45556</v>
      </c>
      <c r="D5" t="s">
        <v>112</v>
      </c>
      <c r="E5" t="s">
        <v>119</v>
      </c>
      <c r="F5" t="s">
        <v>128</v>
      </c>
      <c r="G5" s="2">
        <v>19</v>
      </c>
      <c r="H5" t="s">
        <v>130</v>
      </c>
      <c r="I5" t="s">
        <v>140</v>
      </c>
      <c r="J5" t="s">
        <v>142</v>
      </c>
      <c r="K5">
        <f t="shared" si="0"/>
        <v>5</v>
      </c>
      <c r="L5" s="5" t="str">
        <f t="shared" si="1"/>
        <v>Sep</v>
      </c>
      <c r="M5">
        <f t="shared" si="2"/>
        <v>2024</v>
      </c>
    </row>
    <row r="6" spans="1:15" x14ac:dyDescent="0.3">
      <c r="A6" t="s">
        <v>14</v>
      </c>
      <c r="B6" s="1">
        <v>45455</v>
      </c>
      <c r="C6" s="4">
        <v>45463</v>
      </c>
      <c r="D6" t="s">
        <v>112</v>
      </c>
      <c r="E6" t="s">
        <v>119</v>
      </c>
      <c r="F6" t="s">
        <v>128</v>
      </c>
      <c r="G6" s="2">
        <v>58</v>
      </c>
      <c r="H6" t="s">
        <v>132</v>
      </c>
      <c r="I6" t="s">
        <v>140</v>
      </c>
      <c r="J6" t="s">
        <v>143</v>
      </c>
      <c r="K6">
        <f t="shared" si="0"/>
        <v>8</v>
      </c>
      <c r="L6" s="5" t="str">
        <f t="shared" si="1"/>
        <v>Jun</v>
      </c>
      <c r="M6">
        <f t="shared" si="2"/>
        <v>2024</v>
      </c>
    </row>
    <row r="7" spans="1:15" x14ac:dyDescent="0.3">
      <c r="A7" t="s">
        <v>15</v>
      </c>
      <c r="B7" s="1">
        <v>45545</v>
      </c>
      <c r="C7" s="4">
        <v>45553</v>
      </c>
      <c r="D7" t="s">
        <v>113</v>
      </c>
      <c r="E7" t="s">
        <v>120</v>
      </c>
      <c r="F7" t="s">
        <v>129</v>
      </c>
      <c r="G7" s="2">
        <v>65</v>
      </c>
      <c r="H7" t="s">
        <v>132</v>
      </c>
      <c r="I7" t="s">
        <v>140</v>
      </c>
      <c r="J7" t="s">
        <v>142</v>
      </c>
      <c r="K7">
        <f t="shared" si="0"/>
        <v>8</v>
      </c>
      <c r="L7" s="5" t="str">
        <f t="shared" si="1"/>
        <v>Sep</v>
      </c>
      <c r="M7">
        <f t="shared" si="2"/>
        <v>2024</v>
      </c>
    </row>
    <row r="8" spans="1:15" x14ac:dyDescent="0.3">
      <c r="A8" t="s">
        <v>16</v>
      </c>
      <c r="B8" s="1">
        <v>45301</v>
      </c>
      <c r="C8" s="4">
        <v>45305</v>
      </c>
      <c r="D8" t="s">
        <v>110</v>
      </c>
      <c r="E8" t="s">
        <v>121</v>
      </c>
      <c r="F8" t="s">
        <v>128</v>
      </c>
      <c r="G8" s="2">
        <v>15</v>
      </c>
      <c r="H8" t="s">
        <v>133</v>
      </c>
      <c r="I8" t="s">
        <v>139</v>
      </c>
      <c r="J8" t="s">
        <v>141</v>
      </c>
      <c r="K8">
        <f t="shared" si="0"/>
        <v>4</v>
      </c>
      <c r="L8" s="5" t="str">
        <f t="shared" si="1"/>
        <v>Jan</v>
      </c>
      <c r="M8">
        <f t="shared" si="2"/>
        <v>2024</v>
      </c>
    </row>
    <row r="9" spans="1:15" x14ac:dyDescent="0.3">
      <c r="A9" t="s">
        <v>17</v>
      </c>
      <c r="B9" s="1">
        <v>45522</v>
      </c>
      <c r="C9" s="4">
        <v>45531</v>
      </c>
      <c r="D9" t="s">
        <v>110</v>
      </c>
      <c r="E9" t="s">
        <v>116</v>
      </c>
      <c r="F9" t="s">
        <v>129</v>
      </c>
      <c r="G9" s="2">
        <v>72</v>
      </c>
      <c r="H9" t="s">
        <v>134</v>
      </c>
      <c r="I9" t="s">
        <v>140</v>
      </c>
      <c r="J9" t="s">
        <v>143</v>
      </c>
      <c r="K9">
        <f t="shared" si="0"/>
        <v>9</v>
      </c>
      <c r="L9" s="5" t="str">
        <f t="shared" si="1"/>
        <v>Aug</v>
      </c>
      <c r="M9">
        <f t="shared" si="2"/>
        <v>2024</v>
      </c>
    </row>
    <row r="10" spans="1:15" x14ac:dyDescent="0.3">
      <c r="A10" t="s">
        <v>18</v>
      </c>
      <c r="B10" s="1">
        <v>45428</v>
      </c>
      <c r="C10" s="4">
        <v>45433</v>
      </c>
      <c r="D10" t="s">
        <v>111</v>
      </c>
      <c r="E10" t="s">
        <v>117</v>
      </c>
      <c r="F10" t="s">
        <v>129</v>
      </c>
      <c r="G10" s="2">
        <v>73</v>
      </c>
      <c r="H10" t="s">
        <v>134</v>
      </c>
      <c r="I10" t="s">
        <v>140</v>
      </c>
      <c r="J10" t="s">
        <v>141</v>
      </c>
      <c r="K10">
        <f t="shared" si="0"/>
        <v>5</v>
      </c>
      <c r="L10" s="5" t="str">
        <f t="shared" si="1"/>
        <v>May</v>
      </c>
      <c r="M10">
        <f t="shared" si="2"/>
        <v>2024</v>
      </c>
    </row>
    <row r="11" spans="1:15" x14ac:dyDescent="0.3">
      <c r="A11" t="s">
        <v>19</v>
      </c>
      <c r="B11" s="1">
        <v>45535</v>
      </c>
      <c r="C11" s="4">
        <v>45545</v>
      </c>
      <c r="D11" t="s">
        <v>113</v>
      </c>
      <c r="E11" t="s">
        <v>122</v>
      </c>
      <c r="F11" t="s">
        <v>128</v>
      </c>
      <c r="G11" s="2">
        <v>23</v>
      </c>
      <c r="H11" t="s">
        <v>135</v>
      </c>
      <c r="I11" t="s">
        <v>139</v>
      </c>
      <c r="J11" t="s">
        <v>142</v>
      </c>
      <c r="K11">
        <f t="shared" si="0"/>
        <v>10</v>
      </c>
      <c r="L11" s="5" t="str">
        <f t="shared" si="1"/>
        <v>Aug</v>
      </c>
      <c r="M11">
        <f t="shared" si="2"/>
        <v>2024</v>
      </c>
    </row>
    <row r="12" spans="1:15" x14ac:dyDescent="0.3">
      <c r="A12" t="s">
        <v>20</v>
      </c>
      <c r="B12" s="1">
        <v>45416</v>
      </c>
      <c r="C12" s="4">
        <v>45419</v>
      </c>
      <c r="D12" t="s">
        <v>111</v>
      </c>
      <c r="E12" t="s">
        <v>118</v>
      </c>
      <c r="F12" t="s">
        <v>129</v>
      </c>
      <c r="G12" s="2">
        <v>78</v>
      </c>
      <c r="H12" t="s">
        <v>132</v>
      </c>
      <c r="I12" t="s">
        <v>139</v>
      </c>
      <c r="J12" t="s">
        <v>142</v>
      </c>
      <c r="K12">
        <f t="shared" si="0"/>
        <v>3</v>
      </c>
      <c r="L12" s="5" t="str">
        <f t="shared" si="1"/>
        <v>May</v>
      </c>
      <c r="M12">
        <f t="shared" si="2"/>
        <v>2024</v>
      </c>
    </row>
    <row r="13" spans="1:15" x14ac:dyDescent="0.3">
      <c r="A13" t="s">
        <v>21</v>
      </c>
      <c r="B13" s="1">
        <v>45325</v>
      </c>
      <c r="C13" s="4">
        <v>45330</v>
      </c>
      <c r="D13" t="s">
        <v>114</v>
      </c>
      <c r="E13" t="s">
        <v>123</v>
      </c>
      <c r="F13" t="s">
        <v>129</v>
      </c>
      <c r="G13" s="2">
        <v>12</v>
      </c>
      <c r="H13" t="s">
        <v>131</v>
      </c>
      <c r="I13" t="s">
        <v>139</v>
      </c>
      <c r="J13" t="s">
        <v>141</v>
      </c>
      <c r="K13">
        <f t="shared" si="0"/>
        <v>5</v>
      </c>
      <c r="L13" s="5" t="str">
        <f t="shared" si="1"/>
        <v>Feb</v>
      </c>
      <c r="M13">
        <f t="shared" si="2"/>
        <v>2024</v>
      </c>
    </row>
    <row r="14" spans="1:15" x14ac:dyDescent="0.3">
      <c r="A14" t="s">
        <v>22</v>
      </c>
      <c r="B14" s="1">
        <v>45505</v>
      </c>
      <c r="C14" s="4">
        <v>45514</v>
      </c>
      <c r="D14" t="s">
        <v>113</v>
      </c>
      <c r="E14" t="s">
        <v>122</v>
      </c>
      <c r="F14" t="s">
        <v>129</v>
      </c>
      <c r="G14" s="2">
        <v>34</v>
      </c>
      <c r="H14" t="s">
        <v>131</v>
      </c>
      <c r="I14" t="s">
        <v>140</v>
      </c>
      <c r="J14" t="s">
        <v>143</v>
      </c>
      <c r="K14">
        <f t="shared" si="0"/>
        <v>9</v>
      </c>
      <c r="L14" s="5" t="str">
        <f t="shared" si="1"/>
        <v>Aug</v>
      </c>
      <c r="M14">
        <f t="shared" si="2"/>
        <v>2024</v>
      </c>
    </row>
    <row r="15" spans="1:15" x14ac:dyDescent="0.3">
      <c r="A15" t="s">
        <v>23</v>
      </c>
      <c r="B15" s="1">
        <v>45308</v>
      </c>
      <c r="C15" s="4">
        <v>45314</v>
      </c>
      <c r="D15" t="s">
        <v>110</v>
      </c>
      <c r="E15" t="s">
        <v>121</v>
      </c>
      <c r="F15" t="s">
        <v>129</v>
      </c>
      <c r="G15" s="2">
        <v>36</v>
      </c>
      <c r="H15" t="s">
        <v>134</v>
      </c>
      <c r="I15" t="s">
        <v>139</v>
      </c>
      <c r="J15" t="s">
        <v>141</v>
      </c>
      <c r="K15">
        <f t="shared" si="0"/>
        <v>6</v>
      </c>
      <c r="L15" s="5" t="str">
        <f t="shared" si="1"/>
        <v>Jan</v>
      </c>
      <c r="M15">
        <f t="shared" si="2"/>
        <v>2024</v>
      </c>
    </row>
    <row r="16" spans="1:15" x14ac:dyDescent="0.3">
      <c r="A16" t="s">
        <v>24</v>
      </c>
      <c r="B16" s="1">
        <v>45456</v>
      </c>
      <c r="C16" s="4">
        <v>45466</v>
      </c>
      <c r="D16" t="s">
        <v>111</v>
      </c>
      <c r="E16" t="s">
        <v>117</v>
      </c>
      <c r="F16" t="s">
        <v>129</v>
      </c>
      <c r="G16" s="2">
        <v>55</v>
      </c>
      <c r="H16" t="s">
        <v>133</v>
      </c>
      <c r="I16" t="s">
        <v>140</v>
      </c>
      <c r="J16" t="s">
        <v>141</v>
      </c>
      <c r="K16">
        <f t="shared" si="0"/>
        <v>10</v>
      </c>
      <c r="L16" s="5" t="str">
        <f t="shared" si="1"/>
        <v>Jun</v>
      </c>
      <c r="M16">
        <f t="shared" si="2"/>
        <v>2024</v>
      </c>
    </row>
    <row r="17" spans="1:13" x14ac:dyDescent="0.3">
      <c r="A17" t="s">
        <v>25</v>
      </c>
      <c r="B17" s="1">
        <v>45493</v>
      </c>
      <c r="C17" s="4">
        <v>45499</v>
      </c>
      <c r="D17" t="s">
        <v>114</v>
      </c>
      <c r="E17" t="s">
        <v>124</v>
      </c>
      <c r="F17" t="s">
        <v>128</v>
      </c>
      <c r="G17" s="2">
        <v>35</v>
      </c>
      <c r="H17" t="s">
        <v>135</v>
      </c>
      <c r="I17" t="s">
        <v>139</v>
      </c>
      <c r="J17" t="s">
        <v>143</v>
      </c>
      <c r="K17">
        <f t="shared" si="0"/>
        <v>6</v>
      </c>
      <c r="L17" s="5" t="str">
        <f t="shared" si="1"/>
        <v>Jul</v>
      </c>
      <c r="M17">
        <f t="shared" si="2"/>
        <v>2024</v>
      </c>
    </row>
    <row r="18" spans="1:13" x14ac:dyDescent="0.3">
      <c r="A18" t="s">
        <v>26</v>
      </c>
      <c r="B18" s="1">
        <v>45321</v>
      </c>
      <c r="C18" s="4">
        <v>45331</v>
      </c>
      <c r="D18" t="s">
        <v>115</v>
      </c>
      <c r="E18" t="s">
        <v>125</v>
      </c>
      <c r="F18" t="s">
        <v>128</v>
      </c>
      <c r="G18" s="2">
        <v>18</v>
      </c>
      <c r="H18" t="s">
        <v>136</v>
      </c>
      <c r="I18" t="s">
        <v>139</v>
      </c>
      <c r="J18" t="s">
        <v>141</v>
      </c>
      <c r="K18">
        <f t="shared" si="0"/>
        <v>10</v>
      </c>
      <c r="L18" s="5" t="str">
        <f t="shared" si="1"/>
        <v>Jan</v>
      </c>
      <c r="M18">
        <f t="shared" si="2"/>
        <v>2024</v>
      </c>
    </row>
    <row r="19" spans="1:13" x14ac:dyDescent="0.3">
      <c r="A19" t="s">
        <v>27</v>
      </c>
      <c r="B19" s="1">
        <v>45523</v>
      </c>
      <c r="C19" s="4">
        <v>45530</v>
      </c>
      <c r="D19" t="s">
        <v>114</v>
      </c>
      <c r="E19" t="s">
        <v>123</v>
      </c>
      <c r="F19" t="s">
        <v>129</v>
      </c>
      <c r="G19" s="2">
        <v>73</v>
      </c>
      <c r="H19" t="s">
        <v>136</v>
      </c>
      <c r="I19" t="s">
        <v>138</v>
      </c>
      <c r="J19" t="s">
        <v>143</v>
      </c>
      <c r="K19">
        <f t="shared" si="0"/>
        <v>7</v>
      </c>
      <c r="L19" s="5" t="str">
        <f t="shared" si="1"/>
        <v>Aug</v>
      </c>
      <c r="M19">
        <f t="shared" si="2"/>
        <v>2024</v>
      </c>
    </row>
    <row r="20" spans="1:13" x14ac:dyDescent="0.3">
      <c r="A20" t="s">
        <v>28</v>
      </c>
      <c r="B20" s="1">
        <v>45317</v>
      </c>
      <c r="C20" s="4">
        <v>45322</v>
      </c>
      <c r="D20" t="s">
        <v>111</v>
      </c>
      <c r="E20" t="s">
        <v>118</v>
      </c>
      <c r="F20" t="s">
        <v>129</v>
      </c>
      <c r="G20" s="2">
        <v>53</v>
      </c>
      <c r="H20" t="s">
        <v>134</v>
      </c>
      <c r="I20" t="s">
        <v>139</v>
      </c>
      <c r="J20" t="s">
        <v>141</v>
      </c>
      <c r="K20">
        <f t="shared" si="0"/>
        <v>5</v>
      </c>
      <c r="L20" s="5" t="str">
        <f t="shared" si="1"/>
        <v>Jan</v>
      </c>
      <c r="M20">
        <f t="shared" si="2"/>
        <v>2024</v>
      </c>
    </row>
    <row r="21" spans="1:13" x14ac:dyDescent="0.3">
      <c r="A21" t="s">
        <v>29</v>
      </c>
      <c r="B21" s="1">
        <v>45592</v>
      </c>
      <c r="C21" s="4">
        <v>45600</v>
      </c>
      <c r="D21" t="s">
        <v>111</v>
      </c>
      <c r="E21" t="s">
        <v>117</v>
      </c>
      <c r="F21" t="s">
        <v>128</v>
      </c>
      <c r="G21" s="2">
        <v>51</v>
      </c>
      <c r="H21" t="s">
        <v>135</v>
      </c>
      <c r="I21" t="s">
        <v>138</v>
      </c>
      <c r="J21" t="s">
        <v>141</v>
      </c>
      <c r="K21">
        <f t="shared" si="0"/>
        <v>8</v>
      </c>
      <c r="L21" s="5" t="str">
        <f t="shared" si="1"/>
        <v>Oct</v>
      </c>
      <c r="M21">
        <f t="shared" si="2"/>
        <v>2024</v>
      </c>
    </row>
    <row r="22" spans="1:13" x14ac:dyDescent="0.3">
      <c r="A22" t="s">
        <v>30</v>
      </c>
      <c r="B22" s="1">
        <v>45387</v>
      </c>
      <c r="C22" s="4">
        <v>45396</v>
      </c>
      <c r="D22" t="s">
        <v>113</v>
      </c>
      <c r="E22" t="s">
        <v>120</v>
      </c>
      <c r="F22" t="s">
        <v>128</v>
      </c>
      <c r="G22" s="2">
        <v>7</v>
      </c>
      <c r="H22" t="s">
        <v>135</v>
      </c>
      <c r="I22" t="s">
        <v>138</v>
      </c>
      <c r="J22" t="s">
        <v>143</v>
      </c>
      <c r="K22">
        <f t="shared" si="0"/>
        <v>9</v>
      </c>
      <c r="L22" s="5" t="str">
        <f t="shared" si="1"/>
        <v>Apr</v>
      </c>
      <c r="M22">
        <f t="shared" si="2"/>
        <v>2024</v>
      </c>
    </row>
    <row r="23" spans="1:13" x14ac:dyDescent="0.3">
      <c r="A23" t="s">
        <v>31</v>
      </c>
      <c r="B23" s="1">
        <v>45520</v>
      </c>
      <c r="C23" s="4">
        <v>45529</v>
      </c>
      <c r="D23" t="s">
        <v>111</v>
      </c>
      <c r="E23" t="s">
        <v>117</v>
      </c>
      <c r="F23" t="s">
        <v>129</v>
      </c>
      <c r="G23" s="2">
        <v>34</v>
      </c>
      <c r="H23" t="s">
        <v>131</v>
      </c>
      <c r="I23" t="s">
        <v>138</v>
      </c>
      <c r="J23" t="s">
        <v>141</v>
      </c>
      <c r="K23">
        <f t="shared" si="0"/>
        <v>9</v>
      </c>
      <c r="L23" s="5" t="str">
        <f t="shared" si="1"/>
        <v>Aug</v>
      </c>
      <c r="M23">
        <f t="shared" si="2"/>
        <v>2024</v>
      </c>
    </row>
    <row r="24" spans="1:13" x14ac:dyDescent="0.3">
      <c r="A24" t="s">
        <v>32</v>
      </c>
      <c r="B24" s="1">
        <v>45364</v>
      </c>
      <c r="C24" s="4">
        <v>45368</v>
      </c>
      <c r="D24" t="s">
        <v>114</v>
      </c>
      <c r="E24" t="s">
        <v>123</v>
      </c>
      <c r="F24" t="s">
        <v>128</v>
      </c>
      <c r="G24" s="2">
        <v>41</v>
      </c>
      <c r="H24" t="s">
        <v>135</v>
      </c>
      <c r="I24" t="s">
        <v>140</v>
      </c>
      <c r="J24" t="s">
        <v>141</v>
      </c>
      <c r="K24">
        <f t="shared" si="0"/>
        <v>4</v>
      </c>
      <c r="L24" s="5" t="str">
        <f t="shared" si="1"/>
        <v>Mar</v>
      </c>
      <c r="M24">
        <f t="shared" si="2"/>
        <v>2024</v>
      </c>
    </row>
    <row r="25" spans="1:13" x14ac:dyDescent="0.3">
      <c r="A25" t="s">
        <v>33</v>
      </c>
      <c r="B25" s="1">
        <v>45409</v>
      </c>
      <c r="C25" s="4">
        <v>45419</v>
      </c>
      <c r="D25" t="s">
        <v>110</v>
      </c>
      <c r="E25" t="s">
        <v>121</v>
      </c>
      <c r="F25" t="s">
        <v>129</v>
      </c>
      <c r="G25" s="2">
        <v>59</v>
      </c>
      <c r="H25" t="s">
        <v>131</v>
      </c>
      <c r="I25" t="s">
        <v>139</v>
      </c>
      <c r="J25" t="s">
        <v>143</v>
      </c>
      <c r="K25">
        <f t="shared" si="0"/>
        <v>10</v>
      </c>
      <c r="L25" s="5" t="str">
        <f t="shared" si="1"/>
        <v>Apr</v>
      </c>
      <c r="M25">
        <f t="shared" si="2"/>
        <v>2024</v>
      </c>
    </row>
    <row r="26" spans="1:13" x14ac:dyDescent="0.3">
      <c r="A26" t="s">
        <v>34</v>
      </c>
      <c r="B26" s="1">
        <v>45570</v>
      </c>
      <c r="C26" s="4">
        <v>45576</v>
      </c>
      <c r="D26" t="s">
        <v>112</v>
      </c>
      <c r="E26" t="s">
        <v>119</v>
      </c>
      <c r="F26" t="s">
        <v>128</v>
      </c>
      <c r="G26" s="2">
        <v>78</v>
      </c>
      <c r="H26" t="s">
        <v>132</v>
      </c>
      <c r="I26" t="s">
        <v>139</v>
      </c>
      <c r="J26" t="s">
        <v>142</v>
      </c>
      <c r="K26">
        <f t="shared" si="0"/>
        <v>6</v>
      </c>
      <c r="L26" s="5" t="str">
        <f t="shared" si="1"/>
        <v>Oct</v>
      </c>
      <c r="M26">
        <f t="shared" si="2"/>
        <v>2024</v>
      </c>
    </row>
    <row r="27" spans="1:13" x14ac:dyDescent="0.3">
      <c r="A27" t="s">
        <v>35</v>
      </c>
      <c r="B27" s="1">
        <v>45467</v>
      </c>
      <c r="C27" s="4">
        <v>45475</v>
      </c>
      <c r="D27" t="s">
        <v>111</v>
      </c>
      <c r="E27" t="s">
        <v>118</v>
      </c>
      <c r="F27" t="s">
        <v>129</v>
      </c>
      <c r="G27" s="2">
        <v>80</v>
      </c>
      <c r="H27" t="s">
        <v>135</v>
      </c>
      <c r="I27" t="s">
        <v>140</v>
      </c>
      <c r="J27" t="s">
        <v>142</v>
      </c>
      <c r="K27">
        <f t="shared" si="0"/>
        <v>8</v>
      </c>
      <c r="L27" s="5" t="str">
        <f t="shared" si="1"/>
        <v>Jun</v>
      </c>
      <c r="M27">
        <f t="shared" si="2"/>
        <v>2024</v>
      </c>
    </row>
    <row r="28" spans="1:13" x14ac:dyDescent="0.3">
      <c r="A28" t="s">
        <v>36</v>
      </c>
      <c r="B28" s="1">
        <v>45589</v>
      </c>
      <c r="C28" s="4">
        <v>45593</v>
      </c>
      <c r="D28" t="s">
        <v>114</v>
      </c>
      <c r="E28" t="s">
        <v>124</v>
      </c>
      <c r="F28" t="s">
        <v>128</v>
      </c>
      <c r="G28" s="2">
        <v>6</v>
      </c>
      <c r="H28" t="s">
        <v>135</v>
      </c>
      <c r="I28" t="s">
        <v>139</v>
      </c>
      <c r="J28" t="s">
        <v>142</v>
      </c>
      <c r="K28">
        <f t="shared" si="0"/>
        <v>4</v>
      </c>
      <c r="L28" s="5" t="str">
        <f t="shared" si="1"/>
        <v>Oct</v>
      </c>
      <c r="M28">
        <f t="shared" si="2"/>
        <v>2024</v>
      </c>
    </row>
    <row r="29" spans="1:13" x14ac:dyDescent="0.3">
      <c r="A29" t="s">
        <v>37</v>
      </c>
      <c r="B29" s="1">
        <v>45502</v>
      </c>
      <c r="C29" s="4">
        <v>45511</v>
      </c>
      <c r="D29" t="s">
        <v>110</v>
      </c>
      <c r="E29" t="s">
        <v>121</v>
      </c>
      <c r="F29" t="s">
        <v>129</v>
      </c>
      <c r="G29" s="2">
        <v>67</v>
      </c>
      <c r="H29" t="s">
        <v>131</v>
      </c>
      <c r="I29" t="s">
        <v>140</v>
      </c>
      <c r="J29" t="s">
        <v>141</v>
      </c>
      <c r="K29">
        <f t="shared" si="0"/>
        <v>9</v>
      </c>
      <c r="L29" s="5" t="str">
        <f t="shared" si="1"/>
        <v>Jul</v>
      </c>
      <c r="M29">
        <f t="shared" si="2"/>
        <v>2024</v>
      </c>
    </row>
    <row r="30" spans="1:13" x14ac:dyDescent="0.3">
      <c r="A30" t="s">
        <v>38</v>
      </c>
      <c r="B30" s="1">
        <v>45454</v>
      </c>
      <c r="C30" s="4">
        <v>45459</v>
      </c>
      <c r="D30" t="s">
        <v>114</v>
      </c>
      <c r="E30" t="s">
        <v>123</v>
      </c>
      <c r="F30" t="s">
        <v>129</v>
      </c>
      <c r="G30" s="2">
        <v>58</v>
      </c>
      <c r="H30" t="s">
        <v>130</v>
      </c>
      <c r="I30" t="s">
        <v>139</v>
      </c>
      <c r="J30" t="s">
        <v>141</v>
      </c>
      <c r="K30">
        <f t="shared" si="0"/>
        <v>5</v>
      </c>
      <c r="L30" s="5" t="str">
        <f t="shared" si="1"/>
        <v>Jun</v>
      </c>
      <c r="M30">
        <f t="shared" si="2"/>
        <v>2024</v>
      </c>
    </row>
    <row r="31" spans="1:13" x14ac:dyDescent="0.3">
      <c r="A31" t="s">
        <v>39</v>
      </c>
      <c r="B31" s="1">
        <v>45462</v>
      </c>
      <c r="C31" s="4">
        <v>45472</v>
      </c>
      <c r="D31" t="s">
        <v>110</v>
      </c>
      <c r="E31" t="s">
        <v>121</v>
      </c>
      <c r="F31" t="s">
        <v>128</v>
      </c>
      <c r="G31" s="2">
        <v>12</v>
      </c>
      <c r="H31" t="s">
        <v>132</v>
      </c>
      <c r="I31" t="s">
        <v>140</v>
      </c>
      <c r="J31" t="s">
        <v>141</v>
      </c>
      <c r="K31">
        <f t="shared" si="0"/>
        <v>10</v>
      </c>
      <c r="L31" s="5" t="str">
        <f t="shared" si="1"/>
        <v>Jun</v>
      </c>
      <c r="M31">
        <f t="shared" si="2"/>
        <v>2024</v>
      </c>
    </row>
    <row r="32" spans="1:13" x14ac:dyDescent="0.3">
      <c r="A32" t="s">
        <v>40</v>
      </c>
      <c r="B32" s="1">
        <v>45488</v>
      </c>
      <c r="C32" s="4">
        <v>45496</v>
      </c>
      <c r="D32" t="s">
        <v>113</v>
      </c>
      <c r="E32" t="s">
        <v>122</v>
      </c>
      <c r="F32" t="s">
        <v>129</v>
      </c>
      <c r="G32" s="2">
        <v>52</v>
      </c>
      <c r="H32" t="s">
        <v>131</v>
      </c>
      <c r="I32" t="s">
        <v>139</v>
      </c>
      <c r="J32" t="s">
        <v>142</v>
      </c>
      <c r="K32">
        <f t="shared" si="0"/>
        <v>8</v>
      </c>
      <c r="L32" s="5" t="str">
        <f t="shared" si="1"/>
        <v>Jul</v>
      </c>
      <c r="M32">
        <f t="shared" si="2"/>
        <v>2024</v>
      </c>
    </row>
    <row r="33" spans="1:13" x14ac:dyDescent="0.3">
      <c r="A33" t="s">
        <v>41</v>
      </c>
      <c r="B33" s="1">
        <v>45505</v>
      </c>
      <c r="C33" s="4">
        <v>45514</v>
      </c>
      <c r="D33" t="s">
        <v>113</v>
      </c>
      <c r="E33" t="s">
        <v>120</v>
      </c>
      <c r="F33" t="s">
        <v>129</v>
      </c>
      <c r="G33" s="2">
        <v>43</v>
      </c>
      <c r="H33" t="s">
        <v>136</v>
      </c>
      <c r="I33" t="s">
        <v>140</v>
      </c>
      <c r="J33" t="s">
        <v>142</v>
      </c>
      <c r="K33">
        <f t="shared" si="0"/>
        <v>9</v>
      </c>
      <c r="L33" s="5" t="str">
        <f t="shared" si="1"/>
        <v>Aug</v>
      </c>
      <c r="M33">
        <f t="shared" si="2"/>
        <v>2024</v>
      </c>
    </row>
    <row r="34" spans="1:13" x14ac:dyDescent="0.3">
      <c r="A34" t="s">
        <v>42</v>
      </c>
      <c r="B34" s="1">
        <v>45353</v>
      </c>
      <c r="C34" s="4">
        <v>45361</v>
      </c>
      <c r="D34" t="s">
        <v>113</v>
      </c>
      <c r="E34" t="s">
        <v>122</v>
      </c>
      <c r="F34" t="s">
        <v>129</v>
      </c>
      <c r="G34" s="2">
        <v>56</v>
      </c>
      <c r="H34" t="s">
        <v>132</v>
      </c>
      <c r="I34" t="s">
        <v>138</v>
      </c>
      <c r="J34" t="s">
        <v>142</v>
      </c>
      <c r="K34">
        <f t="shared" si="0"/>
        <v>8</v>
      </c>
      <c r="L34" s="5" t="str">
        <f t="shared" si="1"/>
        <v>Mar</v>
      </c>
      <c r="M34">
        <f t="shared" si="2"/>
        <v>2024</v>
      </c>
    </row>
    <row r="35" spans="1:13" x14ac:dyDescent="0.3">
      <c r="A35" t="s">
        <v>43</v>
      </c>
      <c r="B35" s="1">
        <v>45373</v>
      </c>
      <c r="C35" s="4">
        <v>45379</v>
      </c>
      <c r="D35" t="s">
        <v>114</v>
      </c>
      <c r="E35" t="s">
        <v>123</v>
      </c>
      <c r="F35" t="s">
        <v>128</v>
      </c>
      <c r="G35" s="2">
        <v>29</v>
      </c>
      <c r="H35" t="s">
        <v>137</v>
      </c>
      <c r="I35" t="s">
        <v>139</v>
      </c>
      <c r="J35" t="s">
        <v>143</v>
      </c>
      <c r="K35">
        <f t="shared" si="0"/>
        <v>6</v>
      </c>
      <c r="L35" s="5" t="str">
        <f t="shared" si="1"/>
        <v>Mar</v>
      </c>
      <c r="M35">
        <f t="shared" si="2"/>
        <v>2024</v>
      </c>
    </row>
    <row r="36" spans="1:13" x14ac:dyDescent="0.3">
      <c r="A36" t="s">
        <v>44</v>
      </c>
      <c r="B36" s="1">
        <v>45415</v>
      </c>
      <c r="C36" s="4">
        <v>45420</v>
      </c>
      <c r="D36" t="s">
        <v>110</v>
      </c>
      <c r="E36" t="s">
        <v>121</v>
      </c>
      <c r="F36" t="s">
        <v>128</v>
      </c>
      <c r="G36" s="2">
        <v>76</v>
      </c>
      <c r="H36" t="s">
        <v>136</v>
      </c>
      <c r="I36" t="s">
        <v>138</v>
      </c>
      <c r="J36" t="s">
        <v>142</v>
      </c>
      <c r="K36">
        <f t="shared" si="0"/>
        <v>5</v>
      </c>
      <c r="L36" s="5" t="str">
        <f t="shared" si="1"/>
        <v>May</v>
      </c>
      <c r="M36">
        <f t="shared" si="2"/>
        <v>2024</v>
      </c>
    </row>
    <row r="37" spans="1:13" x14ac:dyDescent="0.3">
      <c r="A37" t="s">
        <v>45</v>
      </c>
      <c r="B37" s="1">
        <v>45572</v>
      </c>
      <c r="C37" s="4">
        <v>45579</v>
      </c>
      <c r="D37" t="s">
        <v>112</v>
      </c>
      <c r="E37" t="s">
        <v>126</v>
      </c>
      <c r="F37" t="s">
        <v>129</v>
      </c>
      <c r="G37" s="2">
        <v>38</v>
      </c>
      <c r="H37" t="s">
        <v>130</v>
      </c>
      <c r="I37" t="s">
        <v>138</v>
      </c>
      <c r="J37" t="s">
        <v>141</v>
      </c>
      <c r="K37">
        <f t="shared" si="0"/>
        <v>7</v>
      </c>
      <c r="L37" s="5" t="str">
        <f t="shared" si="1"/>
        <v>Oct</v>
      </c>
      <c r="M37">
        <f t="shared" si="2"/>
        <v>2024</v>
      </c>
    </row>
    <row r="38" spans="1:13" x14ac:dyDescent="0.3">
      <c r="A38" t="s">
        <v>46</v>
      </c>
      <c r="B38" s="1">
        <v>45523</v>
      </c>
      <c r="C38" s="4">
        <v>45526</v>
      </c>
      <c r="D38" t="s">
        <v>115</v>
      </c>
      <c r="E38" t="s">
        <v>127</v>
      </c>
      <c r="F38" t="s">
        <v>129</v>
      </c>
      <c r="G38" s="2">
        <v>42</v>
      </c>
      <c r="H38" t="s">
        <v>133</v>
      </c>
      <c r="I38" t="s">
        <v>140</v>
      </c>
      <c r="J38" t="s">
        <v>142</v>
      </c>
      <c r="K38">
        <f t="shared" si="0"/>
        <v>3</v>
      </c>
      <c r="L38" s="5" t="str">
        <f t="shared" si="1"/>
        <v>Aug</v>
      </c>
      <c r="M38">
        <f t="shared" si="2"/>
        <v>2024</v>
      </c>
    </row>
    <row r="39" spans="1:13" x14ac:dyDescent="0.3">
      <c r="A39" t="s">
        <v>47</v>
      </c>
      <c r="B39" s="1">
        <v>45401</v>
      </c>
      <c r="C39" s="4">
        <v>45404</v>
      </c>
      <c r="D39" t="s">
        <v>111</v>
      </c>
      <c r="E39" t="s">
        <v>118</v>
      </c>
      <c r="F39" t="s">
        <v>129</v>
      </c>
      <c r="G39" s="2">
        <v>27</v>
      </c>
      <c r="H39" t="s">
        <v>131</v>
      </c>
      <c r="I39" t="s">
        <v>139</v>
      </c>
      <c r="J39" t="s">
        <v>142</v>
      </c>
      <c r="K39">
        <f t="shared" si="0"/>
        <v>3</v>
      </c>
      <c r="L39" s="5" t="str">
        <f t="shared" si="1"/>
        <v>Apr</v>
      </c>
      <c r="M39">
        <f t="shared" si="2"/>
        <v>2024</v>
      </c>
    </row>
    <row r="40" spans="1:13" x14ac:dyDescent="0.3">
      <c r="A40" t="s">
        <v>48</v>
      </c>
      <c r="B40" s="1">
        <v>45320</v>
      </c>
      <c r="C40" s="4">
        <v>45326</v>
      </c>
      <c r="D40" t="s">
        <v>115</v>
      </c>
      <c r="E40" t="s">
        <v>127</v>
      </c>
      <c r="F40" t="s">
        <v>128</v>
      </c>
      <c r="G40" s="2">
        <v>42</v>
      </c>
      <c r="H40" t="s">
        <v>136</v>
      </c>
      <c r="I40" t="s">
        <v>139</v>
      </c>
      <c r="J40" t="s">
        <v>141</v>
      </c>
      <c r="K40">
        <f t="shared" si="0"/>
        <v>6</v>
      </c>
      <c r="L40" s="5" t="str">
        <f t="shared" si="1"/>
        <v>Jan</v>
      </c>
      <c r="M40">
        <f t="shared" si="2"/>
        <v>2024</v>
      </c>
    </row>
    <row r="41" spans="1:13" x14ac:dyDescent="0.3">
      <c r="A41" t="s">
        <v>49</v>
      </c>
      <c r="B41" s="1">
        <v>45544</v>
      </c>
      <c r="C41" s="4">
        <v>45548</v>
      </c>
      <c r="D41" t="s">
        <v>112</v>
      </c>
      <c r="E41" t="s">
        <v>126</v>
      </c>
      <c r="F41" t="s">
        <v>128</v>
      </c>
      <c r="G41" s="2">
        <v>16</v>
      </c>
      <c r="H41" t="s">
        <v>134</v>
      </c>
      <c r="I41" t="s">
        <v>138</v>
      </c>
      <c r="J41" t="s">
        <v>141</v>
      </c>
      <c r="K41">
        <f t="shared" si="0"/>
        <v>4</v>
      </c>
      <c r="L41" s="5" t="str">
        <f t="shared" si="1"/>
        <v>Sep</v>
      </c>
      <c r="M41">
        <f t="shared" si="2"/>
        <v>2024</v>
      </c>
    </row>
    <row r="42" spans="1:13" x14ac:dyDescent="0.3">
      <c r="A42" t="s">
        <v>50</v>
      </c>
      <c r="B42" s="1">
        <v>45455</v>
      </c>
      <c r="C42" s="4">
        <v>45463</v>
      </c>
      <c r="D42" t="s">
        <v>112</v>
      </c>
      <c r="E42" t="s">
        <v>119</v>
      </c>
      <c r="F42" t="s">
        <v>129</v>
      </c>
      <c r="G42" s="2">
        <v>82</v>
      </c>
      <c r="H42" t="s">
        <v>133</v>
      </c>
      <c r="I42" t="s">
        <v>138</v>
      </c>
      <c r="J42" t="s">
        <v>143</v>
      </c>
      <c r="K42">
        <f t="shared" si="0"/>
        <v>8</v>
      </c>
      <c r="L42" s="5" t="str">
        <f t="shared" si="1"/>
        <v>Jun</v>
      </c>
      <c r="M42">
        <f t="shared" si="2"/>
        <v>2024</v>
      </c>
    </row>
    <row r="43" spans="1:13" x14ac:dyDescent="0.3">
      <c r="A43" t="s">
        <v>51</v>
      </c>
      <c r="B43" s="1">
        <v>45590</v>
      </c>
      <c r="C43" s="4">
        <v>45593</v>
      </c>
      <c r="D43" t="s">
        <v>110</v>
      </c>
      <c r="E43" t="s">
        <v>116</v>
      </c>
      <c r="F43" t="s">
        <v>128</v>
      </c>
      <c r="G43" s="2">
        <v>52</v>
      </c>
      <c r="H43" t="s">
        <v>130</v>
      </c>
      <c r="I43" t="s">
        <v>139</v>
      </c>
      <c r="J43" t="s">
        <v>143</v>
      </c>
      <c r="K43">
        <f t="shared" si="0"/>
        <v>3</v>
      </c>
      <c r="L43" s="5" t="str">
        <f t="shared" si="1"/>
        <v>Oct</v>
      </c>
      <c r="M43">
        <f t="shared" si="2"/>
        <v>2024</v>
      </c>
    </row>
    <row r="44" spans="1:13" x14ac:dyDescent="0.3">
      <c r="A44" t="s">
        <v>52</v>
      </c>
      <c r="B44" s="1">
        <v>45547</v>
      </c>
      <c r="C44" s="4">
        <v>45552</v>
      </c>
      <c r="D44" t="s">
        <v>113</v>
      </c>
      <c r="E44" t="s">
        <v>120</v>
      </c>
      <c r="F44" t="s">
        <v>128</v>
      </c>
      <c r="G44" s="2">
        <v>55</v>
      </c>
      <c r="H44" t="s">
        <v>134</v>
      </c>
      <c r="I44" t="s">
        <v>138</v>
      </c>
      <c r="J44" t="s">
        <v>142</v>
      </c>
      <c r="K44">
        <f t="shared" si="0"/>
        <v>5</v>
      </c>
      <c r="L44" s="5" t="str">
        <f t="shared" si="1"/>
        <v>Sep</v>
      </c>
      <c r="M44">
        <f t="shared" si="2"/>
        <v>2024</v>
      </c>
    </row>
    <row r="45" spans="1:13" x14ac:dyDescent="0.3">
      <c r="A45" t="s">
        <v>53</v>
      </c>
      <c r="B45" s="1">
        <v>45314</v>
      </c>
      <c r="C45" s="4">
        <v>45316</v>
      </c>
      <c r="D45" t="s">
        <v>115</v>
      </c>
      <c r="E45" t="s">
        <v>127</v>
      </c>
      <c r="F45" t="s">
        <v>129</v>
      </c>
      <c r="G45" s="2">
        <v>41</v>
      </c>
      <c r="H45" t="s">
        <v>134</v>
      </c>
      <c r="I45" t="s">
        <v>138</v>
      </c>
      <c r="J45" t="s">
        <v>143</v>
      </c>
      <c r="K45">
        <f t="shared" si="0"/>
        <v>2</v>
      </c>
      <c r="L45" s="5" t="str">
        <f t="shared" si="1"/>
        <v>Jan</v>
      </c>
      <c r="M45">
        <f t="shared" si="2"/>
        <v>2024</v>
      </c>
    </row>
    <row r="46" spans="1:13" x14ac:dyDescent="0.3">
      <c r="A46" t="s">
        <v>54</v>
      </c>
      <c r="B46" s="1">
        <v>45324</v>
      </c>
      <c r="C46" s="4">
        <v>45329</v>
      </c>
      <c r="D46" t="s">
        <v>111</v>
      </c>
      <c r="E46" t="s">
        <v>117</v>
      </c>
      <c r="F46" t="s">
        <v>129</v>
      </c>
      <c r="G46" s="2">
        <v>9</v>
      </c>
      <c r="H46" t="s">
        <v>135</v>
      </c>
      <c r="I46" t="s">
        <v>139</v>
      </c>
      <c r="J46" t="s">
        <v>142</v>
      </c>
      <c r="K46">
        <f t="shared" si="0"/>
        <v>5</v>
      </c>
      <c r="L46" s="5" t="str">
        <f t="shared" si="1"/>
        <v>Feb</v>
      </c>
      <c r="M46">
        <f t="shared" si="2"/>
        <v>2024</v>
      </c>
    </row>
    <row r="47" spans="1:13" x14ac:dyDescent="0.3">
      <c r="A47" t="s">
        <v>55</v>
      </c>
      <c r="B47" s="1">
        <v>45486</v>
      </c>
      <c r="C47" s="4">
        <v>45492</v>
      </c>
      <c r="D47" t="s">
        <v>115</v>
      </c>
      <c r="E47" t="s">
        <v>125</v>
      </c>
      <c r="F47" t="s">
        <v>128</v>
      </c>
      <c r="G47" s="2">
        <v>56</v>
      </c>
      <c r="H47" t="s">
        <v>131</v>
      </c>
      <c r="I47" t="s">
        <v>140</v>
      </c>
      <c r="J47" t="s">
        <v>142</v>
      </c>
      <c r="K47">
        <f t="shared" si="0"/>
        <v>6</v>
      </c>
      <c r="L47" s="5" t="str">
        <f t="shared" si="1"/>
        <v>Jul</v>
      </c>
      <c r="M47">
        <f t="shared" si="2"/>
        <v>2024</v>
      </c>
    </row>
    <row r="48" spans="1:13" x14ac:dyDescent="0.3">
      <c r="A48" t="s">
        <v>56</v>
      </c>
      <c r="B48" s="1">
        <v>45461</v>
      </c>
      <c r="C48" s="4">
        <v>45471</v>
      </c>
      <c r="D48" t="s">
        <v>114</v>
      </c>
      <c r="E48" t="s">
        <v>123</v>
      </c>
      <c r="F48" t="s">
        <v>129</v>
      </c>
      <c r="G48" s="2">
        <v>47</v>
      </c>
      <c r="H48" t="s">
        <v>132</v>
      </c>
      <c r="I48" t="s">
        <v>138</v>
      </c>
      <c r="J48" t="s">
        <v>141</v>
      </c>
      <c r="K48">
        <f t="shared" si="0"/>
        <v>10</v>
      </c>
      <c r="L48" s="5" t="str">
        <f t="shared" si="1"/>
        <v>Jun</v>
      </c>
      <c r="M48">
        <f t="shared" si="2"/>
        <v>2024</v>
      </c>
    </row>
    <row r="49" spans="1:13" x14ac:dyDescent="0.3">
      <c r="A49" t="s">
        <v>57</v>
      </c>
      <c r="B49" s="1">
        <v>45328</v>
      </c>
      <c r="C49" s="4">
        <v>45332</v>
      </c>
      <c r="D49" t="s">
        <v>113</v>
      </c>
      <c r="E49" t="s">
        <v>120</v>
      </c>
      <c r="F49" t="s">
        <v>129</v>
      </c>
      <c r="G49" s="2">
        <v>78</v>
      </c>
      <c r="H49" t="s">
        <v>130</v>
      </c>
      <c r="I49" t="s">
        <v>139</v>
      </c>
      <c r="J49" t="s">
        <v>141</v>
      </c>
      <c r="K49">
        <f t="shared" si="0"/>
        <v>4</v>
      </c>
      <c r="L49" s="5" t="str">
        <f t="shared" si="1"/>
        <v>Feb</v>
      </c>
      <c r="M49">
        <f t="shared" si="2"/>
        <v>2024</v>
      </c>
    </row>
    <row r="50" spans="1:13" x14ac:dyDescent="0.3">
      <c r="A50" t="s">
        <v>58</v>
      </c>
      <c r="B50" s="1">
        <v>45568</v>
      </c>
      <c r="C50" s="4">
        <v>45576</v>
      </c>
      <c r="D50" t="s">
        <v>110</v>
      </c>
      <c r="E50" t="s">
        <v>121</v>
      </c>
      <c r="F50" t="s">
        <v>128</v>
      </c>
      <c r="G50" s="2">
        <v>19</v>
      </c>
      <c r="H50" t="s">
        <v>134</v>
      </c>
      <c r="I50" t="s">
        <v>139</v>
      </c>
      <c r="J50" t="s">
        <v>141</v>
      </c>
      <c r="K50">
        <f t="shared" si="0"/>
        <v>8</v>
      </c>
      <c r="L50" s="5" t="str">
        <f t="shared" si="1"/>
        <v>Oct</v>
      </c>
      <c r="M50">
        <f t="shared" si="2"/>
        <v>2024</v>
      </c>
    </row>
    <row r="51" spans="1:13" x14ac:dyDescent="0.3">
      <c r="A51" t="s">
        <v>59</v>
      </c>
      <c r="B51" s="1">
        <v>45511</v>
      </c>
      <c r="C51" s="4">
        <v>45518</v>
      </c>
      <c r="D51" t="s">
        <v>115</v>
      </c>
      <c r="E51" t="s">
        <v>125</v>
      </c>
      <c r="F51" t="s">
        <v>129</v>
      </c>
      <c r="G51" s="2">
        <v>51</v>
      </c>
      <c r="H51" t="s">
        <v>131</v>
      </c>
      <c r="I51" t="s">
        <v>140</v>
      </c>
      <c r="J51" t="s">
        <v>143</v>
      </c>
      <c r="K51">
        <f t="shared" si="0"/>
        <v>7</v>
      </c>
      <c r="L51" s="5" t="str">
        <f t="shared" si="1"/>
        <v>Aug</v>
      </c>
      <c r="M51">
        <f t="shared" si="2"/>
        <v>2024</v>
      </c>
    </row>
    <row r="52" spans="1:13" x14ac:dyDescent="0.3">
      <c r="A52" t="s">
        <v>60</v>
      </c>
      <c r="B52" s="1">
        <v>45551</v>
      </c>
      <c r="C52" s="4">
        <v>45553</v>
      </c>
      <c r="D52" t="s">
        <v>111</v>
      </c>
      <c r="E52" t="s">
        <v>118</v>
      </c>
      <c r="F52" t="s">
        <v>129</v>
      </c>
      <c r="G52" s="2">
        <v>55</v>
      </c>
      <c r="H52" t="s">
        <v>130</v>
      </c>
      <c r="I52" t="s">
        <v>139</v>
      </c>
      <c r="J52" t="s">
        <v>141</v>
      </c>
      <c r="K52">
        <f t="shared" si="0"/>
        <v>2</v>
      </c>
      <c r="L52" s="5" t="str">
        <f t="shared" si="1"/>
        <v>Sep</v>
      </c>
      <c r="M52">
        <f t="shared" si="2"/>
        <v>2024</v>
      </c>
    </row>
    <row r="53" spans="1:13" x14ac:dyDescent="0.3">
      <c r="A53" t="s">
        <v>61</v>
      </c>
      <c r="B53" s="1">
        <v>45339</v>
      </c>
      <c r="C53" s="4">
        <v>45344</v>
      </c>
      <c r="D53" t="s">
        <v>110</v>
      </c>
      <c r="E53" t="s">
        <v>116</v>
      </c>
      <c r="F53" t="s">
        <v>128</v>
      </c>
      <c r="G53" s="2">
        <v>65</v>
      </c>
      <c r="H53" t="s">
        <v>136</v>
      </c>
      <c r="I53" t="s">
        <v>139</v>
      </c>
      <c r="J53" t="s">
        <v>141</v>
      </c>
      <c r="K53">
        <f t="shared" si="0"/>
        <v>5</v>
      </c>
      <c r="L53" s="5" t="str">
        <f t="shared" si="1"/>
        <v>Feb</v>
      </c>
      <c r="M53">
        <f t="shared" si="2"/>
        <v>2024</v>
      </c>
    </row>
    <row r="54" spans="1:13" x14ac:dyDescent="0.3">
      <c r="A54" t="s">
        <v>62</v>
      </c>
      <c r="B54" s="1">
        <v>45433</v>
      </c>
      <c r="C54" s="4">
        <v>45442</v>
      </c>
      <c r="D54" t="s">
        <v>114</v>
      </c>
      <c r="E54" t="s">
        <v>124</v>
      </c>
      <c r="F54" t="s">
        <v>128</v>
      </c>
      <c r="G54" s="2">
        <v>9</v>
      </c>
      <c r="H54" t="s">
        <v>136</v>
      </c>
      <c r="I54" t="s">
        <v>139</v>
      </c>
      <c r="J54" t="s">
        <v>142</v>
      </c>
      <c r="K54">
        <f t="shared" si="0"/>
        <v>9</v>
      </c>
      <c r="L54" s="5" t="str">
        <f t="shared" si="1"/>
        <v>May</v>
      </c>
      <c r="M54">
        <f t="shared" si="2"/>
        <v>2024</v>
      </c>
    </row>
    <row r="55" spans="1:13" x14ac:dyDescent="0.3">
      <c r="A55" t="s">
        <v>63</v>
      </c>
      <c r="B55" s="1">
        <v>45392</v>
      </c>
      <c r="C55" s="4">
        <v>45396</v>
      </c>
      <c r="D55" t="s">
        <v>111</v>
      </c>
      <c r="E55" t="s">
        <v>118</v>
      </c>
      <c r="F55" t="s">
        <v>129</v>
      </c>
      <c r="G55" s="2">
        <v>12</v>
      </c>
      <c r="H55" t="s">
        <v>131</v>
      </c>
      <c r="I55" t="s">
        <v>140</v>
      </c>
      <c r="J55" t="s">
        <v>143</v>
      </c>
      <c r="K55">
        <f t="shared" si="0"/>
        <v>4</v>
      </c>
      <c r="L55" s="5" t="str">
        <f t="shared" si="1"/>
        <v>Apr</v>
      </c>
      <c r="M55">
        <f t="shared" si="2"/>
        <v>2024</v>
      </c>
    </row>
    <row r="56" spans="1:13" x14ac:dyDescent="0.3">
      <c r="A56" t="s">
        <v>64</v>
      </c>
      <c r="B56" s="1">
        <v>45496</v>
      </c>
      <c r="C56" s="4">
        <v>45502</v>
      </c>
      <c r="D56" t="s">
        <v>115</v>
      </c>
      <c r="E56" t="s">
        <v>127</v>
      </c>
      <c r="F56" t="s">
        <v>129</v>
      </c>
      <c r="G56" s="2">
        <v>33</v>
      </c>
      <c r="H56" t="s">
        <v>137</v>
      </c>
      <c r="I56" t="s">
        <v>138</v>
      </c>
      <c r="J56" t="s">
        <v>143</v>
      </c>
      <c r="K56">
        <f t="shared" si="0"/>
        <v>6</v>
      </c>
      <c r="L56" s="5" t="str">
        <f t="shared" si="1"/>
        <v>Jul</v>
      </c>
      <c r="M56">
        <f t="shared" si="2"/>
        <v>2024</v>
      </c>
    </row>
    <row r="57" spans="1:13" x14ac:dyDescent="0.3">
      <c r="A57" t="s">
        <v>65</v>
      </c>
      <c r="B57" s="1">
        <v>45311</v>
      </c>
      <c r="C57" s="4">
        <v>45315</v>
      </c>
      <c r="D57" t="s">
        <v>110</v>
      </c>
      <c r="E57" t="s">
        <v>121</v>
      </c>
      <c r="F57" t="s">
        <v>128</v>
      </c>
      <c r="G57" s="2">
        <v>16</v>
      </c>
      <c r="H57" t="s">
        <v>136</v>
      </c>
      <c r="I57" t="s">
        <v>138</v>
      </c>
      <c r="J57" t="s">
        <v>142</v>
      </c>
      <c r="K57">
        <f t="shared" si="0"/>
        <v>4</v>
      </c>
      <c r="L57" s="5" t="str">
        <f t="shared" si="1"/>
        <v>Jan</v>
      </c>
      <c r="M57">
        <f t="shared" si="2"/>
        <v>2024</v>
      </c>
    </row>
    <row r="58" spans="1:13" x14ac:dyDescent="0.3">
      <c r="A58" t="s">
        <v>66</v>
      </c>
      <c r="B58" s="1">
        <v>45348</v>
      </c>
      <c r="C58" s="4">
        <v>45352</v>
      </c>
      <c r="D58" t="s">
        <v>110</v>
      </c>
      <c r="E58" t="s">
        <v>121</v>
      </c>
      <c r="F58" t="s">
        <v>129</v>
      </c>
      <c r="G58" s="2">
        <v>70</v>
      </c>
      <c r="H58" t="s">
        <v>137</v>
      </c>
      <c r="I58" t="s">
        <v>139</v>
      </c>
      <c r="J58" t="s">
        <v>141</v>
      </c>
      <c r="K58">
        <f t="shared" si="0"/>
        <v>4</v>
      </c>
      <c r="L58" s="5" t="str">
        <f t="shared" si="1"/>
        <v>Feb</v>
      </c>
      <c r="M58">
        <f t="shared" si="2"/>
        <v>2024</v>
      </c>
    </row>
    <row r="59" spans="1:13" x14ac:dyDescent="0.3">
      <c r="A59" t="s">
        <v>67</v>
      </c>
      <c r="B59" s="1">
        <v>45480</v>
      </c>
      <c r="C59" s="4">
        <v>45490</v>
      </c>
      <c r="D59" t="s">
        <v>112</v>
      </c>
      <c r="E59" t="s">
        <v>119</v>
      </c>
      <c r="F59" t="s">
        <v>129</v>
      </c>
      <c r="G59" s="2">
        <v>73</v>
      </c>
      <c r="H59" t="s">
        <v>134</v>
      </c>
      <c r="I59" t="s">
        <v>138</v>
      </c>
      <c r="J59" t="s">
        <v>142</v>
      </c>
      <c r="K59">
        <f t="shared" si="0"/>
        <v>10</v>
      </c>
      <c r="L59" s="5" t="str">
        <f t="shared" si="1"/>
        <v>Jul</v>
      </c>
      <c r="M59">
        <f t="shared" si="2"/>
        <v>2024</v>
      </c>
    </row>
    <row r="60" spans="1:13" x14ac:dyDescent="0.3">
      <c r="A60" t="s">
        <v>68</v>
      </c>
      <c r="B60" s="1">
        <v>45442</v>
      </c>
      <c r="C60" s="4">
        <v>45452</v>
      </c>
      <c r="D60" t="s">
        <v>111</v>
      </c>
      <c r="E60" t="s">
        <v>118</v>
      </c>
      <c r="F60" t="s">
        <v>129</v>
      </c>
      <c r="G60" s="2">
        <v>57</v>
      </c>
      <c r="H60" t="s">
        <v>130</v>
      </c>
      <c r="I60" t="s">
        <v>139</v>
      </c>
      <c r="J60" t="s">
        <v>141</v>
      </c>
      <c r="K60">
        <f t="shared" si="0"/>
        <v>10</v>
      </c>
      <c r="L60" s="5" t="str">
        <f t="shared" si="1"/>
        <v>May</v>
      </c>
      <c r="M60">
        <f t="shared" si="2"/>
        <v>2024</v>
      </c>
    </row>
    <row r="61" spans="1:13" x14ac:dyDescent="0.3">
      <c r="A61" t="s">
        <v>69</v>
      </c>
      <c r="B61" s="1">
        <v>45555</v>
      </c>
      <c r="C61" s="4">
        <v>45560</v>
      </c>
      <c r="D61" t="s">
        <v>110</v>
      </c>
      <c r="E61" t="s">
        <v>116</v>
      </c>
      <c r="F61" t="s">
        <v>128</v>
      </c>
      <c r="G61" s="2">
        <v>20</v>
      </c>
      <c r="H61" t="s">
        <v>132</v>
      </c>
      <c r="I61" t="s">
        <v>138</v>
      </c>
      <c r="J61" t="s">
        <v>143</v>
      </c>
      <c r="K61">
        <f t="shared" si="0"/>
        <v>5</v>
      </c>
      <c r="L61" s="5" t="str">
        <f t="shared" si="1"/>
        <v>Sep</v>
      </c>
      <c r="M61">
        <f t="shared" si="2"/>
        <v>2024</v>
      </c>
    </row>
    <row r="62" spans="1:13" x14ac:dyDescent="0.3">
      <c r="A62" t="s">
        <v>70</v>
      </c>
      <c r="B62" s="1">
        <v>45391</v>
      </c>
      <c r="C62" s="4">
        <v>45393</v>
      </c>
      <c r="D62" t="s">
        <v>115</v>
      </c>
      <c r="E62" t="s">
        <v>127</v>
      </c>
      <c r="F62" t="s">
        <v>128</v>
      </c>
      <c r="G62" s="2">
        <v>47</v>
      </c>
      <c r="H62" t="s">
        <v>136</v>
      </c>
      <c r="I62" t="s">
        <v>138</v>
      </c>
      <c r="J62" t="s">
        <v>142</v>
      </c>
      <c r="K62">
        <f t="shared" si="0"/>
        <v>2</v>
      </c>
      <c r="L62" s="5" t="str">
        <f t="shared" si="1"/>
        <v>Apr</v>
      </c>
      <c r="M62">
        <f t="shared" si="2"/>
        <v>2024</v>
      </c>
    </row>
    <row r="63" spans="1:13" x14ac:dyDescent="0.3">
      <c r="A63" t="s">
        <v>71</v>
      </c>
      <c r="B63" s="1">
        <v>45488</v>
      </c>
      <c r="C63" s="4">
        <v>45491</v>
      </c>
      <c r="D63" t="s">
        <v>114</v>
      </c>
      <c r="E63" t="s">
        <v>123</v>
      </c>
      <c r="F63" t="s">
        <v>128</v>
      </c>
      <c r="G63" s="2">
        <v>40</v>
      </c>
      <c r="H63" t="s">
        <v>134</v>
      </c>
      <c r="I63" t="s">
        <v>140</v>
      </c>
      <c r="J63" t="s">
        <v>141</v>
      </c>
      <c r="K63">
        <f t="shared" si="0"/>
        <v>3</v>
      </c>
      <c r="L63" s="5" t="str">
        <f t="shared" si="1"/>
        <v>Jul</v>
      </c>
      <c r="M63">
        <f t="shared" si="2"/>
        <v>2024</v>
      </c>
    </row>
    <row r="64" spans="1:13" x14ac:dyDescent="0.3">
      <c r="A64" t="s">
        <v>72</v>
      </c>
      <c r="B64" s="1">
        <v>45330</v>
      </c>
      <c r="C64" s="4">
        <v>45339</v>
      </c>
      <c r="D64" t="s">
        <v>114</v>
      </c>
      <c r="E64" t="s">
        <v>123</v>
      </c>
      <c r="F64" t="s">
        <v>129</v>
      </c>
      <c r="G64" s="2">
        <v>81</v>
      </c>
      <c r="H64" t="s">
        <v>136</v>
      </c>
      <c r="I64" t="s">
        <v>140</v>
      </c>
      <c r="J64" t="s">
        <v>142</v>
      </c>
      <c r="K64">
        <f t="shared" si="0"/>
        <v>9</v>
      </c>
      <c r="L64" s="5" t="str">
        <f t="shared" si="1"/>
        <v>Feb</v>
      </c>
      <c r="M64">
        <f t="shared" si="2"/>
        <v>2024</v>
      </c>
    </row>
    <row r="65" spans="1:13" x14ac:dyDescent="0.3">
      <c r="A65" t="s">
        <v>73</v>
      </c>
      <c r="B65" s="1">
        <v>45518</v>
      </c>
      <c r="C65" s="4">
        <v>45526</v>
      </c>
      <c r="D65" t="s">
        <v>113</v>
      </c>
      <c r="E65" t="s">
        <v>120</v>
      </c>
      <c r="F65" t="s">
        <v>128</v>
      </c>
      <c r="G65" s="2">
        <v>29</v>
      </c>
      <c r="H65" t="s">
        <v>130</v>
      </c>
      <c r="I65" t="s">
        <v>140</v>
      </c>
      <c r="J65" t="s">
        <v>141</v>
      </c>
      <c r="K65">
        <f t="shared" si="0"/>
        <v>8</v>
      </c>
      <c r="L65" s="5" t="str">
        <f t="shared" si="1"/>
        <v>Aug</v>
      </c>
      <c r="M65">
        <f t="shared" si="2"/>
        <v>2024</v>
      </c>
    </row>
    <row r="66" spans="1:13" x14ac:dyDescent="0.3">
      <c r="A66" t="s">
        <v>74</v>
      </c>
      <c r="B66" s="1">
        <v>45515</v>
      </c>
      <c r="C66" s="4">
        <v>45522</v>
      </c>
      <c r="D66" t="s">
        <v>112</v>
      </c>
      <c r="E66" t="s">
        <v>126</v>
      </c>
      <c r="F66" t="s">
        <v>129</v>
      </c>
      <c r="G66" s="2">
        <v>14</v>
      </c>
      <c r="H66" t="s">
        <v>136</v>
      </c>
      <c r="I66" t="s">
        <v>140</v>
      </c>
      <c r="J66" t="s">
        <v>143</v>
      </c>
      <c r="K66">
        <f t="shared" si="0"/>
        <v>7</v>
      </c>
      <c r="L66" s="5" t="str">
        <f t="shared" si="1"/>
        <v>Aug</v>
      </c>
      <c r="M66">
        <f t="shared" si="2"/>
        <v>2024</v>
      </c>
    </row>
    <row r="67" spans="1:13" x14ac:dyDescent="0.3">
      <c r="A67" t="s">
        <v>75</v>
      </c>
      <c r="B67" s="1">
        <v>45446</v>
      </c>
      <c r="C67" s="4">
        <v>45448</v>
      </c>
      <c r="D67" t="s">
        <v>113</v>
      </c>
      <c r="E67" t="s">
        <v>122</v>
      </c>
      <c r="F67" t="s">
        <v>129</v>
      </c>
      <c r="G67" s="2">
        <v>84</v>
      </c>
      <c r="H67" t="s">
        <v>134</v>
      </c>
      <c r="I67" t="s">
        <v>140</v>
      </c>
      <c r="J67" t="s">
        <v>143</v>
      </c>
      <c r="K67">
        <f t="shared" ref="K67:K101" si="3">C67-B67</f>
        <v>2</v>
      </c>
      <c r="L67" s="5" t="str">
        <f t="shared" ref="L67:L101" si="4">TEXT(B67, "mmm")</f>
        <v>Jun</v>
      </c>
      <c r="M67">
        <f t="shared" ref="M67:M101" si="5">YEAR(B67)</f>
        <v>2024</v>
      </c>
    </row>
    <row r="68" spans="1:13" x14ac:dyDescent="0.3">
      <c r="A68" t="s">
        <v>76</v>
      </c>
      <c r="B68" s="1">
        <v>45395</v>
      </c>
      <c r="C68" s="4">
        <v>45401</v>
      </c>
      <c r="D68" t="s">
        <v>114</v>
      </c>
      <c r="E68" t="s">
        <v>123</v>
      </c>
      <c r="F68" t="s">
        <v>129</v>
      </c>
      <c r="G68" s="2">
        <v>67</v>
      </c>
      <c r="H68" t="s">
        <v>132</v>
      </c>
      <c r="I68" t="s">
        <v>139</v>
      </c>
      <c r="J68" t="s">
        <v>142</v>
      </c>
      <c r="K68">
        <f t="shared" si="3"/>
        <v>6</v>
      </c>
      <c r="L68" s="5" t="str">
        <f t="shared" si="4"/>
        <v>Apr</v>
      </c>
      <c r="M68">
        <f t="shared" si="5"/>
        <v>2024</v>
      </c>
    </row>
    <row r="69" spans="1:13" x14ac:dyDescent="0.3">
      <c r="A69" t="s">
        <v>77</v>
      </c>
      <c r="B69" s="1">
        <v>45405</v>
      </c>
      <c r="C69" s="4">
        <v>45407</v>
      </c>
      <c r="D69" t="s">
        <v>113</v>
      </c>
      <c r="E69" t="s">
        <v>122</v>
      </c>
      <c r="F69" t="s">
        <v>128</v>
      </c>
      <c r="G69" s="2">
        <v>5</v>
      </c>
      <c r="H69" t="s">
        <v>133</v>
      </c>
      <c r="I69" t="s">
        <v>140</v>
      </c>
      <c r="J69" t="s">
        <v>141</v>
      </c>
      <c r="K69">
        <f t="shared" si="3"/>
        <v>2</v>
      </c>
      <c r="L69" s="5" t="str">
        <f t="shared" si="4"/>
        <v>Apr</v>
      </c>
      <c r="M69">
        <f t="shared" si="5"/>
        <v>2024</v>
      </c>
    </row>
    <row r="70" spans="1:13" x14ac:dyDescent="0.3">
      <c r="A70" t="s">
        <v>78</v>
      </c>
      <c r="B70" s="1">
        <v>45361</v>
      </c>
      <c r="C70" s="4">
        <v>45365</v>
      </c>
      <c r="D70" t="s">
        <v>112</v>
      </c>
      <c r="E70" t="s">
        <v>126</v>
      </c>
      <c r="F70" t="s">
        <v>128</v>
      </c>
      <c r="G70" s="2">
        <v>75</v>
      </c>
      <c r="H70" t="s">
        <v>131</v>
      </c>
      <c r="I70" t="s">
        <v>138</v>
      </c>
      <c r="J70" t="s">
        <v>142</v>
      </c>
      <c r="K70">
        <f t="shared" si="3"/>
        <v>4</v>
      </c>
      <c r="L70" s="5" t="str">
        <f t="shared" si="4"/>
        <v>Mar</v>
      </c>
      <c r="M70">
        <f t="shared" si="5"/>
        <v>2024</v>
      </c>
    </row>
    <row r="71" spans="1:13" x14ac:dyDescent="0.3">
      <c r="A71" t="s">
        <v>79</v>
      </c>
      <c r="B71" s="1">
        <v>45349</v>
      </c>
      <c r="C71" s="4">
        <v>45359</v>
      </c>
      <c r="D71" t="s">
        <v>113</v>
      </c>
      <c r="E71" t="s">
        <v>122</v>
      </c>
      <c r="F71" t="s">
        <v>129</v>
      </c>
      <c r="G71" s="2">
        <v>60</v>
      </c>
      <c r="H71" t="s">
        <v>130</v>
      </c>
      <c r="I71" t="s">
        <v>140</v>
      </c>
      <c r="J71" t="s">
        <v>141</v>
      </c>
      <c r="K71">
        <f t="shared" si="3"/>
        <v>10</v>
      </c>
      <c r="L71" s="5" t="str">
        <f t="shared" si="4"/>
        <v>Feb</v>
      </c>
      <c r="M71">
        <f t="shared" si="5"/>
        <v>2024</v>
      </c>
    </row>
    <row r="72" spans="1:13" x14ac:dyDescent="0.3">
      <c r="A72" t="s">
        <v>80</v>
      </c>
      <c r="B72" s="1">
        <v>45347</v>
      </c>
      <c r="C72" s="4">
        <v>45353</v>
      </c>
      <c r="D72" t="s">
        <v>111</v>
      </c>
      <c r="E72" t="s">
        <v>117</v>
      </c>
      <c r="F72" t="s">
        <v>128</v>
      </c>
      <c r="G72" s="2">
        <v>59</v>
      </c>
      <c r="H72" t="s">
        <v>136</v>
      </c>
      <c r="I72" t="s">
        <v>139</v>
      </c>
      <c r="J72" t="s">
        <v>142</v>
      </c>
      <c r="K72">
        <f t="shared" si="3"/>
        <v>6</v>
      </c>
      <c r="L72" s="5" t="str">
        <f t="shared" si="4"/>
        <v>Feb</v>
      </c>
      <c r="M72">
        <f t="shared" si="5"/>
        <v>2024</v>
      </c>
    </row>
    <row r="73" spans="1:13" x14ac:dyDescent="0.3">
      <c r="A73" t="s">
        <v>81</v>
      </c>
      <c r="B73" s="1">
        <v>45468</v>
      </c>
      <c r="C73" s="4">
        <v>45473</v>
      </c>
      <c r="D73" t="s">
        <v>110</v>
      </c>
      <c r="E73" t="s">
        <v>121</v>
      </c>
      <c r="F73" t="s">
        <v>128</v>
      </c>
      <c r="G73" s="2">
        <v>5</v>
      </c>
      <c r="H73" t="s">
        <v>131</v>
      </c>
      <c r="I73" t="s">
        <v>140</v>
      </c>
      <c r="J73" t="s">
        <v>142</v>
      </c>
      <c r="K73">
        <f t="shared" si="3"/>
        <v>5</v>
      </c>
      <c r="L73" s="5" t="str">
        <f t="shared" si="4"/>
        <v>Jun</v>
      </c>
      <c r="M73">
        <f t="shared" si="5"/>
        <v>2024</v>
      </c>
    </row>
    <row r="74" spans="1:13" x14ac:dyDescent="0.3">
      <c r="A74" t="s">
        <v>82</v>
      </c>
      <c r="B74" s="1">
        <v>45309</v>
      </c>
      <c r="C74" s="4">
        <v>45315</v>
      </c>
      <c r="D74" t="s">
        <v>115</v>
      </c>
      <c r="E74" t="s">
        <v>125</v>
      </c>
      <c r="F74" t="s">
        <v>128</v>
      </c>
      <c r="G74" s="2">
        <v>71</v>
      </c>
      <c r="H74" t="s">
        <v>131</v>
      </c>
      <c r="I74" t="s">
        <v>140</v>
      </c>
      <c r="J74" t="s">
        <v>141</v>
      </c>
      <c r="K74">
        <f t="shared" si="3"/>
        <v>6</v>
      </c>
      <c r="L74" s="5" t="str">
        <f t="shared" si="4"/>
        <v>Jan</v>
      </c>
      <c r="M74">
        <f t="shared" si="5"/>
        <v>2024</v>
      </c>
    </row>
    <row r="75" spans="1:13" x14ac:dyDescent="0.3">
      <c r="A75" t="s">
        <v>83</v>
      </c>
      <c r="B75" s="1">
        <v>45387</v>
      </c>
      <c r="C75" s="4">
        <v>45392</v>
      </c>
      <c r="D75" t="s">
        <v>112</v>
      </c>
      <c r="E75" t="s">
        <v>126</v>
      </c>
      <c r="F75" t="s">
        <v>128</v>
      </c>
      <c r="G75" s="2">
        <v>76</v>
      </c>
      <c r="H75" t="s">
        <v>130</v>
      </c>
      <c r="I75" t="s">
        <v>139</v>
      </c>
      <c r="J75" t="s">
        <v>143</v>
      </c>
      <c r="K75">
        <f t="shared" si="3"/>
        <v>5</v>
      </c>
      <c r="L75" s="5" t="str">
        <f t="shared" si="4"/>
        <v>Apr</v>
      </c>
      <c r="M75">
        <f t="shared" si="5"/>
        <v>2024</v>
      </c>
    </row>
    <row r="76" spans="1:13" x14ac:dyDescent="0.3">
      <c r="A76" t="s">
        <v>84</v>
      </c>
      <c r="B76" s="1">
        <v>45419</v>
      </c>
      <c r="C76" s="4">
        <v>45428</v>
      </c>
      <c r="D76" t="s">
        <v>111</v>
      </c>
      <c r="E76" t="s">
        <v>117</v>
      </c>
      <c r="F76" t="s">
        <v>128</v>
      </c>
      <c r="G76" s="2">
        <v>42</v>
      </c>
      <c r="H76" t="s">
        <v>130</v>
      </c>
      <c r="I76" t="s">
        <v>138</v>
      </c>
      <c r="J76" t="s">
        <v>142</v>
      </c>
      <c r="K76">
        <f t="shared" si="3"/>
        <v>9</v>
      </c>
      <c r="L76" s="5" t="str">
        <f t="shared" si="4"/>
        <v>May</v>
      </c>
      <c r="M76">
        <f t="shared" si="5"/>
        <v>2024</v>
      </c>
    </row>
    <row r="77" spans="1:13" x14ac:dyDescent="0.3">
      <c r="A77" t="s">
        <v>85</v>
      </c>
      <c r="B77" s="1">
        <v>45485</v>
      </c>
      <c r="C77" s="4">
        <v>45487</v>
      </c>
      <c r="D77" t="s">
        <v>112</v>
      </c>
      <c r="E77" t="s">
        <v>119</v>
      </c>
      <c r="F77" t="s">
        <v>128</v>
      </c>
      <c r="G77" s="2">
        <v>19</v>
      </c>
      <c r="H77" t="s">
        <v>134</v>
      </c>
      <c r="I77" t="s">
        <v>139</v>
      </c>
      <c r="J77" t="s">
        <v>143</v>
      </c>
      <c r="K77">
        <f t="shared" si="3"/>
        <v>2</v>
      </c>
      <c r="L77" s="5" t="str">
        <f t="shared" si="4"/>
        <v>Jul</v>
      </c>
      <c r="M77">
        <f t="shared" si="5"/>
        <v>2024</v>
      </c>
    </row>
    <row r="78" spans="1:13" x14ac:dyDescent="0.3">
      <c r="A78" t="s">
        <v>86</v>
      </c>
      <c r="B78" s="1">
        <v>45416</v>
      </c>
      <c r="C78" s="4">
        <v>45421</v>
      </c>
      <c r="D78" t="s">
        <v>115</v>
      </c>
      <c r="E78" t="s">
        <v>125</v>
      </c>
      <c r="F78" t="s">
        <v>129</v>
      </c>
      <c r="G78" s="2">
        <v>43</v>
      </c>
      <c r="H78" t="s">
        <v>135</v>
      </c>
      <c r="I78" t="s">
        <v>140</v>
      </c>
      <c r="J78" t="s">
        <v>143</v>
      </c>
      <c r="K78">
        <f t="shared" si="3"/>
        <v>5</v>
      </c>
      <c r="L78" s="5" t="str">
        <f t="shared" si="4"/>
        <v>May</v>
      </c>
      <c r="M78">
        <f t="shared" si="5"/>
        <v>2024</v>
      </c>
    </row>
    <row r="79" spans="1:13" x14ac:dyDescent="0.3">
      <c r="A79" t="s">
        <v>87</v>
      </c>
      <c r="B79" s="1">
        <v>45311</v>
      </c>
      <c r="C79" s="4">
        <v>45315</v>
      </c>
      <c r="D79" t="s">
        <v>113</v>
      </c>
      <c r="E79" t="s">
        <v>120</v>
      </c>
      <c r="F79" t="s">
        <v>128</v>
      </c>
      <c r="G79" s="2">
        <v>12</v>
      </c>
      <c r="H79" t="s">
        <v>130</v>
      </c>
      <c r="I79" t="s">
        <v>138</v>
      </c>
      <c r="J79" t="s">
        <v>141</v>
      </c>
      <c r="K79">
        <f t="shared" si="3"/>
        <v>4</v>
      </c>
      <c r="L79" s="5" t="str">
        <f t="shared" si="4"/>
        <v>Jan</v>
      </c>
      <c r="M79">
        <f t="shared" si="5"/>
        <v>2024</v>
      </c>
    </row>
    <row r="80" spans="1:13" x14ac:dyDescent="0.3">
      <c r="A80" t="s">
        <v>88</v>
      </c>
      <c r="B80" s="1">
        <v>45577</v>
      </c>
      <c r="C80" s="4">
        <v>45586</v>
      </c>
      <c r="D80" t="s">
        <v>113</v>
      </c>
      <c r="E80" t="s">
        <v>122</v>
      </c>
      <c r="F80" t="s">
        <v>128</v>
      </c>
      <c r="G80" s="2">
        <v>30</v>
      </c>
      <c r="H80" t="s">
        <v>136</v>
      </c>
      <c r="I80" t="s">
        <v>138</v>
      </c>
      <c r="J80" t="s">
        <v>142</v>
      </c>
      <c r="K80">
        <f t="shared" si="3"/>
        <v>9</v>
      </c>
      <c r="L80" s="5" t="str">
        <f t="shared" si="4"/>
        <v>Oct</v>
      </c>
      <c r="M80">
        <f t="shared" si="5"/>
        <v>2024</v>
      </c>
    </row>
    <row r="81" spans="1:13" x14ac:dyDescent="0.3">
      <c r="A81" t="s">
        <v>89</v>
      </c>
      <c r="B81" s="1">
        <v>45397</v>
      </c>
      <c r="C81" s="4">
        <v>45404</v>
      </c>
      <c r="D81" t="s">
        <v>113</v>
      </c>
      <c r="E81" t="s">
        <v>120</v>
      </c>
      <c r="F81" t="s">
        <v>128</v>
      </c>
      <c r="G81" s="2">
        <v>34</v>
      </c>
      <c r="H81" t="s">
        <v>130</v>
      </c>
      <c r="I81" t="s">
        <v>139</v>
      </c>
      <c r="J81" t="s">
        <v>141</v>
      </c>
      <c r="K81">
        <f t="shared" si="3"/>
        <v>7</v>
      </c>
      <c r="L81" s="5" t="str">
        <f t="shared" si="4"/>
        <v>Apr</v>
      </c>
      <c r="M81">
        <f t="shared" si="5"/>
        <v>2024</v>
      </c>
    </row>
    <row r="82" spans="1:13" x14ac:dyDescent="0.3">
      <c r="A82" t="s">
        <v>90</v>
      </c>
      <c r="B82" s="1">
        <v>45516</v>
      </c>
      <c r="C82" s="4">
        <v>45519</v>
      </c>
      <c r="D82" t="s">
        <v>110</v>
      </c>
      <c r="E82" t="s">
        <v>121</v>
      </c>
      <c r="F82" t="s">
        <v>128</v>
      </c>
      <c r="G82" s="2">
        <v>32</v>
      </c>
      <c r="H82" t="s">
        <v>133</v>
      </c>
      <c r="I82" t="s">
        <v>140</v>
      </c>
      <c r="J82" t="s">
        <v>143</v>
      </c>
      <c r="K82">
        <f t="shared" si="3"/>
        <v>3</v>
      </c>
      <c r="L82" s="5" t="str">
        <f t="shared" si="4"/>
        <v>Aug</v>
      </c>
      <c r="M82">
        <f t="shared" si="5"/>
        <v>2024</v>
      </c>
    </row>
    <row r="83" spans="1:13" x14ac:dyDescent="0.3">
      <c r="A83" t="s">
        <v>91</v>
      </c>
      <c r="B83" s="1">
        <v>45504</v>
      </c>
      <c r="C83" s="4">
        <v>45507</v>
      </c>
      <c r="D83" t="s">
        <v>112</v>
      </c>
      <c r="E83" t="s">
        <v>119</v>
      </c>
      <c r="F83" t="s">
        <v>128</v>
      </c>
      <c r="G83" s="2">
        <v>76</v>
      </c>
      <c r="H83" t="s">
        <v>136</v>
      </c>
      <c r="I83" t="s">
        <v>140</v>
      </c>
      <c r="J83" t="s">
        <v>143</v>
      </c>
      <c r="K83">
        <f t="shared" si="3"/>
        <v>3</v>
      </c>
      <c r="L83" s="5" t="str">
        <f t="shared" si="4"/>
        <v>Jul</v>
      </c>
      <c r="M83">
        <f t="shared" si="5"/>
        <v>2024</v>
      </c>
    </row>
    <row r="84" spans="1:13" x14ac:dyDescent="0.3">
      <c r="A84" t="s">
        <v>92</v>
      </c>
      <c r="B84" s="1">
        <v>45514</v>
      </c>
      <c r="C84" s="4">
        <v>45523</v>
      </c>
      <c r="D84" t="s">
        <v>113</v>
      </c>
      <c r="E84" t="s">
        <v>122</v>
      </c>
      <c r="F84" t="s">
        <v>128</v>
      </c>
      <c r="G84" s="2">
        <v>83</v>
      </c>
      <c r="H84" t="s">
        <v>131</v>
      </c>
      <c r="I84" t="s">
        <v>139</v>
      </c>
      <c r="J84" t="s">
        <v>141</v>
      </c>
      <c r="K84">
        <f t="shared" si="3"/>
        <v>9</v>
      </c>
      <c r="L84" s="5" t="str">
        <f t="shared" si="4"/>
        <v>Aug</v>
      </c>
      <c r="M84">
        <f t="shared" si="5"/>
        <v>2024</v>
      </c>
    </row>
    <row r="85" spans="1:13" x14ac:dyDescent="0.3">
      <c r="A85" t="s">
        <v>93</v>
      </c>
      <c r="B85" s="1">
        <v>45504</v>
      </c>
      <c r="C85" s="4">
        <v>45508</v>
      </c>
      <c r="D85" t="s">
        <v>110</v>
      </c>
      <c r="E85" t="s">
        <v>116</v>
      </c>
      <c r="F85" t="s">
        <v>128</v>
      </c>
      <c r="G85" s="2">
        <v>51</v>
      </c>
      <c r="H85" t="s">
        <v>137</v>
      </c>
      <c r="I85" t="s">
        <v>138</v>
      </c>
      <c r="J85" t="s">
        <v>142</v>
      </c>
      <c r="K85">
        <f t="shared" si="3"/>
        <v>4</v>
      </c>
      <c r="L85" s="5" t="str">
        <f t="shared" si="4"/>
        <v>Jul</v>
      </c>
      <c r="M85">
        <f t="shared" si="5"/>
        <v>2024</v>
      </c>
    </row>
    <row r="86" spans="1:13" x14ac:dyDescent="0.3">
      <c r="A86" t="s">
        <v>94</v>
      </c>
      <c r="B86" s="1">
        <v>45555</v>
      </c>
      <c r="C86" s="4">
        <v>45564</v>
      </c>
      <c r="D86" t="s">
        <v>114</v>
      </c>
      <c r="E86" t="s">
        <v>123</v>
      </c>
      <c r="F86" t="s">
        <v>129</v>
      </c>
      <c r="G86" s="2">
        <v>18</v>
      </c>
      <c r="H86" t="s">
        <v>135</v>
      </c>
      <c r="I86" t="s">
        <v>139</v>
      </c>
      <c r="J86" t="s">
        <v>141</v>
      </c>
      <c r="K86">
        <f t="shared" si="3"/>
        <v>9</v>
      </c>
      <c r="L86" s="5" t="str">
        <f t="shared" si="4"/>
        <v>Sep</v>
      </c>
      <c r="M86">
        <f t="shared" si="5"/>
        <v>2024</v>
      </c>
    </row>
    <row r="87" spans="1:13" x14ac:dyDescent="0.3">
      <c r="A87" t="s">
        <v>95</v>
      </c>
      <c r="B87" s="1">
        <v>45482</v>
      </c>
      <c r="C87" s="4">
        <v>45489</v>
      </c>
      <c r="D87" t="s">
        <v>112</v>
      </c>
      <c r="E87" t="s">
        <v>119</v>
      </c>
      <c r="F87" t="s">
        <v>129</v>
      </c>
      <c r="G87" s="2">
        <v>13</v>
      </c>
      <c r="H87" t="s">
        <v>136</v>
      </c>
      <c r="I87" t="s">
        <v>140</v>
      </c>
      <c r="J87" t="s">
        <v>143</v>
      </c>
      <c r="K87">
        <f t="shared" si="3"/>
        <v>7</v>
      </c>
      <c r="L87" s="5" t="str">
        <f t="shared" si="4"/>
        <v>Jul</v>
      </c>
      <c r="M87">
        <f t="shared" si="5"/>
        <v>2024</v>
      </c>
    </row>
    <row r="88" spans="1:13" x14ac:dyDescent="0.3">
      <c r="A88" t="s">
        <v>96</v>
      </c>
      <c r="B88" s="1">
        <v>45418</v>
      </c>
      <c r="C88" s="4">
        <v>45425</v>
      </c>
      <c r="D88" t="s">
        <v>114</v>
      </c>
      <c r="E88" t="s">
        <v>124</v>
      </c>
      <c r="F88" t="s">
        <v>129</v>
      </c>
      <c r="G88" s="2">
        <v>21</v>
      </c>
      <c r="H88" t="s">
        <v>132</v>
      </c>
      <c r="I88" t="s">
        <v>139</v>
      </c>
      <c r="J88" t="s">
        <v>142</v>
      </c>
      <c r="K88">
        <f t="shared" si="3"/>
        <v>7</v>
      </c>
      <c r="L88" s="5" t="str">
        <f t="shared" si="4"/>
        <v>May</v>
      </c>
      <c r="M88">
        <f t="shared" si="5"/>
        <v>2024</v>
      </c>
    </row>
    <row r="89" spans="1:13" x14ac:dyDescent="0.3">
      <c r="A89" t="s">
        <v>97</v>
      </c>
      <c r="B89" s="1">
        <v>45355</v>
      </c>
      <c r="C89" s="4">
        <v>45363</v>
      </c>
      <c r="D89" t="s">
        <v>111</v>
      </c>
      <c r="E89" t="s">
        <v>117</v>
      </c>
      <c r="F89" t="s">
        <v>129</v>
      </c>
      <c r="G89" s="2">
        <v>47</v>
      </c>
      <c r="H89" t="s">
        <v>131</v>
      </c>
      <c r="I89" t="s">
        <v>140</v>
      </c>
      <c r="J89" t="s">
        <v>142</v>
      </c>
      <c r="K89">
        <f t="shared" si="3"/>
        <v>8</v>
      </c>
      <c r="L89" s="5" t="str">
        <f t="shared" si="4"/>
        <v>Mar</v>
      </c>
      <c r="M89">
        <f t="shared" si="5"/>
        <v>2024</v>
      </c>
    </row>
    <row r="90" spans="1:13" x14ac:dyDescent="0.3">
      <c r="A90" t="s">
        <v>98</v>
      </c>
      <c r="B90" s="1">
        <v>45556</v>
      </c>
      <c r="C90" s="4">
        <v>45560</v>
      </c>
      <c r="D90" t="s">
        <v>113</v>
      </c>
      <c r="E90" t="s">
        <v>122</v>
      </c>
      <c r="F90" t="s">
        <v>129</v>
      </c>
      <c r="G90" s="2">
        <v>58</v>
      </c>
      <c r="H90" t="s">
        <v>135</v>
      </c>
      <c r="I90" t="s">
        <v>139</v>
      </c>
      <c r="J90" t="s">
        <v>142</v>
      </c>
      <c r="K90">
        <f t="shared" si="3"/>
        <v>4</v>
      </c>
      <c r="L90" s="5" t="str">
        <f t="shared" si="4"/>
        <v>Sep</v>
      </c>
      <c r="M90">
        <f t="shared" si="5"/>
        <v>2024</v>
      </c>
    </row>
    <row r="91" spans="1:13" x14ac:dyDescent="0.3">
      <c r="A91" t="s">
        <v>99</v>
      </c>
      <c r="B91" s="1">
        <v>45328</v>
      </c>
      <c r="C91" s="4">
        <v>45334</v>
      </c>
      <c r="D91" t="s">
        <v>113</v>
      </c>
      <c r="E91" t="s">
        <v>122</v>
      </c>
      <c r="F91" t="s">
        <v>129</v>
      </c>
      <c r="G91" s="2">
        <v>34</v>
      </c>
      <c r="H91" t="s">
        <v>132</v>
      </c>
      <c r="I91" t="s">
        <v>140</v>
      </c>
      <c r="J91" t="s">
        <v>142</v>
      </c>
      <c r="K91">
        <f t="shared" si="3"/>
        <v>6</v>
      </c>
      <c r="L91" s="5" t="str">
        <f t="shared" si="4"/>
        <v>Feb</v>
      </c>
      <c r="M91">
        <f t="shared" si="5"/>
        <v>2024</v>
      </c>
    </row>
    <row r="92" spans="1:13" x14ac:dyDescent="0.3">
      <c r="A92" t="s">
        <v>100</v>
      </c>
      <c r="B92" s="1">
        <v>45413</v>
      </c>
      <c r="C92" s="4">
        <v>45415</v>
      </c>
      <c r="D92" t="s">
        <v>114</v>
      </c>
      <c r="E92" t="s">
        <v>123</v>
      </c>
      <c r="F92" t="s">
        <v>128</v>
      </c>
      <c r="G92" s="2">
        <v>31</v>
      </c>
      <c r="H92" t="s">
        <v>131</v>
      </c>
      <c r="I92" t="s">
        <v>139</v>
      </c>
      <c r="J92" t="s">
        <v>143</v>
      </c>
      <c r="K92">
        <f t="shared" si="3"/>
        <v>2</v>
      </c>
      <c r="L92" s="5" t="str">
        <f t="shared" si="4"/>
        <v>May</v>
      </c>
      <c r="M92">
        <f t="shared" si="5"/>
        <v>2024</v>
      </c>
    </row>
    <row r="93" spans="1:13" x14ac:dyDescent="0.3">
      <c r="A93" t="s">
        <v>101</v>
      </c>
      <c r="B93" s="1">
        <v>45463</v>
      </c>
      <c r="C93" s="4">
        <v>45467</v>
      </c>
      <c r="D93" t="s">
        <v>111</v>
      </c>
      <c r="E93" t="s">
        <v>118</v>
      </c>
      <c r="F93" t="s">
        <v>129</v>
      </c>
      <c r="G93" s="2">
        <v>20</v>
      </c>
      <c r="H93" t="s">
        <v>132</v>
      </c>
      <c r="I93" t="s">
        <v>140</v>
      </c>
      <c r="J93" t="s">
        <v>141</v>
      </c>
      <c r="K93">
        <f t="shared" si="3"/>
        <v>4</v>
      </c>
      <c r="L93" s="5" t="str">
        <f t="shared" si="4"/>
        <v>Jun</v>
      </c>
      <c r="M93">
        <f t="shared" si="5"/>
        <v>2024</v>
      </c>
    </row>
    <row r="94" spans="1:13" x14ac:dyDescent="0.3">
      <c r="A94" t="s">
        <v>102</v>
      </c>
      <c r="B94" s="1">
        <v>45564</v>
      </c>
      <c r="C94" s="4">
        <v>45573</v>
      </c>
      <c r="D94" t="s">
        <v>114</v>
      </c>
      <c r="E94" t="s">
        <v>123</v>
      </c>
      <c r="F94" t="s">
        <v>128</v>
      </c>
      <c r="G94" s="2">
        <v>55</v>
      </c>
      <c r="H94" t="s">
        <v>130</v>
      </c>
      <c r="I94" t="s">
        <v>139</v>
      </c>
      <c r="J94" t="s">
        <v>141</v>
      </c>
      <c r="K94">
        <f t="shared" si="3"/>
        <v>9</v>
      </c>
      <c r="L94" s="5" t="str">
        <f t="shared" si="4"/>
        <v>Sep</v>
      </c>
      <c r="M94">
        <f t="shared" si="5"/>
        <v>2024</v>
      </c>
    </row>
    <row r="95" spans="1:13" x14ac:dyDescent="0.3">
      <c r="A95" t="s">
        <v>103</v>
      </c>
      <c r="B95" s="1">
        <v>45430</v>
      </c>
      <c r="C95" s="4">
        <v>45435</v>
      </c>
      <c r="D95" t="s">
        <v>112</v>
      </c>
      <c r="E95" t="s">
        <v>119</v>
      </c>
      <c r="F95" t="s">
        <v>128</v>
      </c>
      <c r="G95" s="2">
        <v>48</v>
      </c>
      <c r="H95" t="s">
        <v>130</v>
      </c>
      <c r="I95" t="s">
        <v>138</v>
      </c>
      <c r="J95" t="s">
        <v>142</v>
      </c>
      <c r="K95">
        <f t="shared" si="3"/>
        <v>5</v>
      </c>
      <c r="L95" s="5" t="str">
        <f t="shared" si="4"/>
        <v>May</v>
      </c>
      <c r="M95">
        <f t="shared" si="5"/>
        <v>2024</v>
      </c>
    </row>
    <row r="96" spans="1:13" x14ac:dyDescent="0.3">
      <c r="A96" t="s">
        <v>104</v>
      </c>
      <c r="B96" s="1">
        <v>45478</v>
      </c>
      <c r="C96" s="4">
        <v>45480</v>
      </c>
      <c r="D96" t="s">
        <v>113</v>
      </c>
      <c r="E96" t="s">
        <v>120</v>
      </c>
      <c r="F96" t="s">
        <v>128</v>
      </c>
      <c r="G96" s="2">
        <v>14</v>
      </c>
      <c r="H96" t="s">
        <v>132</v>
      </c>
      <c r="I96" t="s">
        <v>140</v>
      </c>
      <c r="J96" t="s">
        <v>143</v>
      </c>
      <c r="K96">
        <f t="shared" si="3"/>
        <v>2</v>
      </c>
      <c r="L96" s="5" t="str">
        <f t="shared" si="4"/>
        <v>Jul</v>
      </c>
      <c r="M96">
        <f t="shared" si="5"/>
        <v>2024</v>
      </c>
    </row>
    <row r="97" spans="1:13" x14ac:dyDescent="0.3">
      <c r="A97" t="s">
        <v>105</v>
      </c>
      <c r="B97" s="1">
        <v>45550</v>
      </c>
      <c r="C97" s="4">
        <v>45557</v>
      </c>
      <c r="D97" t="s">
        <v>113</v>
      </c>
      <c r="E97" t="s">
        <v>122</v>
      </c>
      <c r="F97" t="s">
        <v>128</v>
      </c>
      <c r="G97" s="2">
        <v>54</v>
      </c>
      <c r="H97" t="s">
        <v>132</v>
      </c>
      <c r="I97" t="s">
        <v>139</v>
      </c>
      <c r="J97" t="s">
        <v>141</v>
      </c>
      <c r="K97">
        <f t="shared" si="3"/>
        <v>7</v>
      </c>
      <c r="L97" s="5" t="str">
        <f t="shared" si="4"/>
        <v>Sep</v>
      </c>
      <c r="M97">
        <f t="shared" si="5"/>
        <v>2024</v>
      </c>
    </row>
    <row r="98" spans="1:13" x14ac:dyDescent="0.3">
      <c r="A98" t="s">
        <v>106</v>
      </c>
      <c r="B98" s="1">
        <v>45339</v>
      </c>
      <c r="C98" s="4">
        <v>45341</v>
      </c>
      <c r="D98" t="s">
        <v>111</v>
      </c>
      <c r="E98" t="s">
        <v>118</v>
      </c>
      <c r="F98" t="s">
        <v>128</v>
      </c>
      <c r="G98" s="2">
        <v>53</v>
      </c>
      <c r="H98" t="s">
        <v>131</v>
      </c>
      <c r="I98" t="s">
        <v>140</v>
      </c>
      <c r="J98" t="s">
        <v>143</v>
      </c>
      <c r="K98">
        <f t="shared" si="3"/>
        <v>2</v>
      </c>
      <c r="L98" s="5" t="str">
        <f t="shared" si="4"/>
        <v>Feb</v>
      </c>
      <c r="M98">
        <f t="shared" si="5"/>
        <v>2024</v>
      </c>
    </row>
    <row r="99" spans="1:13" x14ac:dyDescent="0.3">
      <c r="A99" t="s">
        <v>107</v>
      </c>
      <c r="B99" s="1">
        <v>45352</v>
      </c>
      <c r="C99" s="4">
        <v>45357</v>
      </c>
      <c r="D99" t="s">
        <v>115</v>
      </c>
      <c r="E99" t="s">
        <v>125</v>
      </c>
      <c r="F99" t="s">
        <v>129</v>
      </c>
      <c r="G99" s="2">
        <v>67</v>
      </c>
      <c r="H99" t="s">
        <v>136</v>
      </c>
      <c r="I99" t="s">
        <v>138</v>
      </c>
      <c r="J99" t="s">
        <v>141</v>
      </c>
      <c r="K99">
        <f t="shared" si="3"/>
        <v>5</v>
      </c>
      <c r="L99" s="5" t="str">
        <f t="shared" si="4"/>
        <v>Mar</v>
      </c>
      <c r="M99">
        <f t="shared" si="5"/>
        <v>2024</v>
      </c>
    </row>
    <row r="100" spans="1:13" x14ac:dyDescent="0.3">
      <c r="A100" t="s">
        <v>108</v>
      </c>
      <c r="B100" s="1">
        <v>45368</v>
      </c>
      <c r="C100" s="4">
        <v>45376</v>
      </c>
      <c r="D100" t="s">
        <v>112</v>
      </c>
      <c r="E100" t="s">
        <v>119</v>
      </c>
      <c r="F100" t="s">
        <v>129</v>
      </c>
      <c r="G100" s="2">
        <v>7</v>
      </c>
      <c r="H100" t="s">
        <v>132</v>
      </c>
      <c r="I100" t="s">
        <v>138</v>
      </c>
      <c r="J100" t="s">
        <v>142</v>
      </c>
      <c r="K100">
        <f t="shared" si="3"/>
        <v>8</v>
      </c>
      <c r="L100" s="5" t="str">
        <f t="shared" si="4"/>
        <v>Mar</v>
      </c>
      <c r="M100">
        <f t="shared" si="5"/>
        <v>2024</v>
      </c>
    </row>
    <row r="101" spans="1:13" x14ac:dyDescent="0.3">
      <c r="A101" t="s">
        <v>109</v>
      </c>
      <c r="B101" s="1">
        <v>45469</v>
      </c>
      <c r="C101" s="4">
        <v>45472</v>
      </c>
      <c r="D101" t="s">
        <v>114</v>
      </c>
      <c r="E101" t="s">
        <v>124</v>
      </c>
      <c r="F101" t="s">
        <v>129</v>
      </c>
      <c r="G101" s="2">
        <v>57</v>
      </c>
      <c r="H101" t="s">
        <v>130</v>
      </c>
      <c r="I101" t="s">
        <v>138</v>
      </c>
      <c r="J101" t="s">
        <v>141</v>
      </c>
      <c r="K101">
        <f t="shared" si="3"/>
        <v>3</v>
      </c>
      <c r="L101" s="5" t="str">
        <f t="shared" si="4"/>
        <v>Jun</v>
      </c>
      <c r="M101">
        <f t="shared" si="5"/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pivot-table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rimsha</dc:creator>
  <cp:lastModifiedBy>rimshacharania@gmail.com</cp:lastModifiedBy>
  <dcterms:created xsi:type="dcterms:W3CDTF">2025-10-16T06:43:19Z</dcterms:created>
  <dcterms:modified xsi:type="dcterms:W3CDTF">2025-10-17T11:08:17Z</dcterms:modified>
</cp:coreProperties>
</file>